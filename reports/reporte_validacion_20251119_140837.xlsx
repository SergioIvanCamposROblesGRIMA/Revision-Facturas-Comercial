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60" customWidth="1" min="7" max="7"/>
    <col width="21" customWidth="1" min="8" max="8"/>
    <col width="47" customWidth="1" min="9" max="9"/>
    <col width="12" customWidth="1" min="10" max="10"/>
    <col width="12" customWidth="1" min="11" max="11"/>
    <col width="53" customWidth="1" min="12" max="12"/>
    <col width="38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1</v>
      </c>
      <c r="C2" s="2" t="inlineStr">
        <is>
          <t>2025-11-19 21:53:14</t>
        </is>
      </c>
      <c r="D2" s="2" t="inlineStr">
        <is>
          <t>No</t>
        </is>
      </c>
      <c r="E2" s="2" t="n">
        <v>0</v>
      </c>
      <c r="F2" s="2" t="inlineStr">
        <is>
          <t>Sí</t>
        </is>
      </c>
      <c r="G2" s="3">
        <f>HYPERLINK("https://drive.google.com/file/d/1p8Qbqvfi1edHGRCbDJ1X1uZJvDq7CEQn/view", "Ver PDF")</f>
        <v/>
      </c>
      <c r="H2" s="2" t="inlineStr">
        <is>
          <t>⚠️ Sin OC</t>
        </is>
      </c>
      <c r="I2" s="2" t="inlineStr"/>
      <c r="J2" s="2" t="n">
        <v>0</v>
      </c>
      <c r="K2" s="2" t="inlineStr"/>
      <c r="L2" s="2" t="inlineStr"/>
      <c r="M2" s="2" t="inlineStr"/>
      <c r="N2" s="2" t="inlineStr">
        <is>
          <t>No se pudo comparar: Falta Orden de Compra.</t>
        </is>
      </c>
    </row>
    <row r="3">
      <c r="A3" s="2" t="inlineStr">
        <is>
          <t>⚠️ ANOMALÍA</t>
        </is>
      </c>
      <c r="B3" s="2" t="n">
        <v>2</v>
      </c>
      <c r="C3" s="2" t="inlineStr">
        <is>
          <t>2025-11-19 21:53:15</t>
        </is>
      </c>
      <c r="D3" s="2" t="inlineStr">
        <is>
          <t>No</t>
        </is>
      </c>
      <c r="E3" s="2" t="n">
        <v>0</v>
      </c>
      <c r="F3" s="2" t="inlineStr">
        <is>
          <t>Sí</t>
        </is>
      </c>
      <c r="G3" s="3">
        <f>HYPERLINK("https://drive.google.com/file/d/1k6e-aBoVtBVcdSHxEX0nXRbhjOqXE1lm/view", "Ver PDF")</f>
        <v/>
      </c>
      <c r="H3" s="2" t="inlineStr">
        <is>
          <t>⚠️ Sin OC</t>
        </is>
      </c>
      <c r="I3" s="2" t="inlineStr"/>
      <c r="J3" s="2" t="n">
        <v>0</v>
      </c>
      <c r="K3" s="2" t="inlineStr"/>
      <c r="L3" s="2" t="inlineStr"/>
      <c r="M3" s="2" t="inlineStr"/>
      <c r="N3" s="2" t="inlineStr">
        <is>
          <t>No se pudo comparar: Falta Orden de Compra.</t>
        </is>
      </c>
    </row>
    <row r="4">
      <c r="A4" s="2" t="inlineStr">
        <is>
          <t>⚠️ ANOMALÍA</t>
        </is>
      </c>
      <c r="B4" s="2" t="n">
        <v>3</v>
      </c>
      <c r="C4" s="2" t="inlineStr">
        <is>
          <t>2025-11-19 21:53:16</t>
        </is>
      </c>
      <c r="D4" s="2" t="inlineStr">
        <is>
          <t>No</t>
        </is>
      </c>
      <c r="E4" s="2" t="n">
        <v>0</v>
      </c>
      <c r="F4" s="2" t="inlineStr">
        <is>
          <t>Sí</t>
        </is>
      </c>
      <c r="G4" s="3">
        <f>HYPERLINK("https://drive.google.com/file/d/1LcH8kG4pu6484H00OaePthJE3MYQcnfX/view", "Ver PDF")</f>
        <v/>
      </c>
      <c r="H4" s="2" t="inlineStr">
        <is>
          <t>⚠️ Sin OC</t>
        </is>
      </c>
      <c r="I4" s="2" t="inlineStr">
        <is>
          <t>CORPORACION DE ALIMENTOS DE MEXICALI SA DE CV</t>
        </is>
      </c>
      <c r="J4" s="2" t="n">
        <v>0</v>
      </c>
      <c r="K4" s="2" t="inlineStr"/>
      <c r="L4" s="2" t="inlineStr"/>
      <c r="M4" s="2" t="inlineStr"/>
      <c r="N4" s="2" t="inlineStr">
        <is>
          <t>No se pudo comparar: Falta Orden de Compra.</t>
        </is>
      </c>
    </row>
    <row r="5">
      <c r="A5" s="4" t="inlineStr">
        <is>
          <t>✅ OK</t>
        </is>
      </c>
      <c r="B5" s="4" t="n">
        <v>4</v>
      </c>
      <c r="C5" s="4" t="inlineStr">
        <is>
          <t>2025-11-19 21:53:17</t>
        </is>
      </c>
      <c r="D5" s="4" t="inlineStr">
        <is>
          <t>Sí</t>
        </is>
      </c>
      <c r="E5" s="4" t="n">
        <v>1</v>
      </c>
      <c r="F5" s="4" t="inlineStr">
        <is>
          <t>Sí</t>
        </is>
      </c>
      <c r="G5" s="5">
        <f>HYPERLINK("https://drive.google.com/file/d/1oUaheUnjgqpjHTNM9PXch1GYT6BW8n6d/view", "Ver PDF")</f>
        <v/>
      </c>
      <c r="H5" s="4" t="inlineStr">
        <is>
          <t>N/A</t>
        </is>
      </c>
      <c r="I5" s="4" t="inlineStr">
        <is>
          <t>MORVIL S.A DE C.V.</t>
        </is>
      </c>
      <c r="J5" s="4" t="n">
        <v>3423.71</v>
      </c>
      <c r="K5" s="4" t="inlineStr">
        <is>
          <t>MXN</t>
        </is>
      </c>
      <c r="L5" s="4" t="inlineStr">
        <is>
          <t>Corporacion De Alimentos De Mexicali</t>
        </is>
      </c>
      <c r="M5" s="4" t="inlineStr">
        <is>
          <t>D22167</t>
        </is>
      </c>
      <c r="N5" s="4" t="inlineStr">
        <is>
          <t>OK - Corresponde a la OC #1 (ID: 150827) por monto exacto.</t>
        </is>
      </c>
    </row>
    <row r="6">
      <c r="A6" s="4" t="inlineStr">
        <is>
          <t>✅ OK</t>
        </is>
      </c>
      <c r="B6" s="4" t="n">
        <v>5</v>
      </c>
      <c r="C6" s="4" t="inlineStr">
        <is>
          <t>2025-11-19 21:53:18</t>
        </is>
      </c>
      <c r="D6" s="4" t="inlineStr">
        <is>
          <t>Sí</t>
        </is>
      </c>
      <c r="E6" s="4" t="n">
        <v>1</v>
      </c>
      <c r="F6" s="4" t="inlineStr">
        <is>
          <t>Sí</t>
        </is>
      </c>
      <c r="G6" s="5">
        <f>HYPERLINK("https://drive.google.com/file/d/1JWohrWe6WjzZtTXIeIDkl5NtZdQXYr2h/view", "Ver PDF")</f>
        <v/>
      </c>
      <c r="H6" s="4" t="inlineStr">
        <is>
          <t>N/A</t>
        </is>
      </c>
      <c r="I6" s="4" t="inlineStr">
        <is>
          <t>MORVIL S.A DE C.V.</t>
        </is>
      </c>
      <c r="J6" s="4" t="n">
        <v>4408.14</v>
      </c>
      <c r="K6" s="4" t="inlineStr">
        <is>
          <t>MXN</t>
        </is>
      </c>
      <c r="L6" s="4" t="inlineStr">
        <is>
          <t>Corporacion De Alimentos De Mexicali</t>
        </is>
      </c>
      <c r="M6" s="4" t="inlineStr">
        <is>
          <t>D22113</t>
        </is>
      </c>
      <c r="N6" s="4" t="inlineStr">
        <is>
          <t>OK - Corresponde a la OC #1 (ID: 150800) por monto exacto.</t>
        </is>
      </c>
    </row>
    <row r="7">
      <c r="A7" s="4" t="inlineStr">
        <is>
          <t>✅ OK</t>
        </is>
      </c>
      <c r="B7" s="4" t="n">
        <v>6</v>
      </c>
      <c r="C7" s="4" t="inlineStr">
        <is>
          <t>2025-11-19 21:53:19</t>
        </is>
      </c>
      <c r="D7" s="4" t="inlineStr">
        <is>
          <t>Sí</t>
        </is>
      </c>
      <c r="E7" s="4" t="n">
        <v>1</v>
      </c>
      <c r="F7" s="4" t="inlineStr">
        <is>
          <t>Sí</t>
        </is>
      </c>
      <c r="G7" s="5">
        <f>HYPERLINK("https://drive.google.com/file/d/1_bfInF4IVQdTCHWziEGesOxwXw_pweMq/view", "Ver PDF")</f>
        <v/>
      </c>
      <c r="H7" s="4" t="inlineStr">
        <is>
          <t>N/A</t>
        </is>
      </c>
      <c r="I7" s="4" t="inlineStr">
        <is>
          <t>MORVIL S.A DE C.V.</t>
        </is>
      </c>
      <c r="J7" s="4" t="n">
        <v>180.46</v>
      </c>
      <c r="K7" s="4" t="inlineStr">
        <is>
          <t>MXN</t>
        </is>
      </c>
      <c r="L7" s="4" t="inlineStr">
        <is>
          <t>Corporacion De Alimentos De Mexicali</t>
        </is>
      </c>
      <c r="M7" s="4" t="inlineStr">
        <is>
          <t>059088DD-9C91-5117-88E4-34B1E58AF445</t>
        </is>
      </c>
      <c r="N7" s="4" t="inlineStr">
        <is>
          <t>OK - Corresponde a la OC #1 (ID: 150829) por monto exacto.</t>
        </is>
      </c>
    </row>
    <row r="8">
      <c r="A8" s="4" t="inlineStr">
        <is>
          <t>✅ OK</t>
        </is>
      </c>
      <c r="B8" s="4" t="n">
        <v>7</v>
      </c>
      <c r="C8" s="4" t="inlineStr">
        <is>
          <t>2025-11-19 21:53:20</t>
        </is>
      </c>
      <c r="D8" s="4" t="inlineStr">
        <is>
          <t>Sí</t>
        </is>
      </c>
      <c r="E8" s="4" t="n">
        <v>1</v>
      </c>
      <c r="F8" s="4" t="inlineStr">
        <is>
          <t>Sí</t>
        </is>
      </c>
      <c r="G8" s="5">
        <f>HYPERLINK("https://drive.google.com/file/d/1cLCvc7zuzcjRklDIANbdmdO53GY4BDOJ/view", "Ver PDF")</f>
        <v/>
      </c>
      <c r="H8" s="4" t="inlineStr">
        <is>
          <t>N/A</t>
        </is>
      </c>
      <c r="I8" s="4" t="inlineStr">
        <is>
          <t>MORVIL S.A DE C.V.</t>
        </is>
      </c>
      <c r="J8" s="4" t="n">
        <v>107.03</v>
      </c>
      <c r="K8" s="4" t="inlineStr">
        <is>
          <t>MXN</t>
        </is>
      </c>
      <c r="L8" s="4" t="inlineStr">
        <is>
          <t>Corporacion De Alimentos De Mexicali</t>
        </is>
      </c>
      <c r="M8" s="4" t="inlineStr">
        <is>
          <t>39A7A6FA-5CF1-58C7-9225-B91825AB687B</t>
        </is>
      </c>
      <c r="N8" s="4" t="inlineStr">
        <is>
          <t>OK - Corresponde a la OC #1 (ID: 150864) por monto exacto.</t>
        </is>
      </c>
    </row>
    <row r="9">
      <c r="A9" s="4" t="inlineStr">
        <is>
          <t>✅ OK</t>
        </is>
      </c>
      <c r="B9" s="4" t="n">
        <v>8</v>
      </c>
      <c r="C9" s="4" t="inlineStr">
        <is>
          <t>2025-11-19 21:53:22</t>
        </is>
      </c>
      <c r="D9" s="4" t="inlineStr">
        <is>
          <t>Sí</t>
        </is>
      </c>
      <c r="E9" s="4" t="n">
        <v>1</v>
      </c>
      <c r="F9" s="4" t="inlineStr">
        <is>
          <t>Sí</t>
        </is>
      </c>
      <c r="G9" s="5">
        <f>HYPERLINK("https://drive.google.com/file/d/1b8dHg3iBCKMwkNBtmq8Ttj2Hs13Cy-vP/view", "Ver PDF")</f>
        <v/>
      </c>
      <c r="H9" s="4" t="inlineStr">
        <is>
          <t>N/A</t>
        </is>
      </c>
      <c r="I9" s="4" t="inlineStr">
        <is>
          <t>MORVIL S.A de C.V.</t>
        </is>
      </c>
      <c r="J9" s="4" t="n">
        <v>3110.4</v>
      </c>
      <c r="K9" s="4" t="inlineStr">
        <is>
          <t>MXN</t>
        </is>
      </c>
      <c r="L9" s="4" t="inlineStr">
        <is>
          <t>Corporacion De Alimentos De Mexicali</t>
        </is>
      </c>
      <c r="M9" s="4" t="inlineStr">
        <is>
          <t>F23E005F-0872-56DC-A320-4ED83227D4E2</t>
        </is>
      </c>
      <c r="N9" s="4" t="inlineStr">
        <is>
          <t>OK - Corresponde a la OC #1 (ID: 150877) por monto exacto.</t>
        </is>
      </c>
    </row>
    <row r="10">
      <c r="A10" s="4" t="inlineStr">
        <is>
          <t>✅ OK</t>
        </is>
      </c>
      <c r="B10" s="4" t="n">
        <v>9</v>
      </c>
      <c r="C10" s="4" t="inlineStr">
        <is>
          <t>2025-11-19 21:53:23</t>
        </is>
      </c>
      <c r="D10" s="4" t="inlineStr">
        <is>
          <t>Sí</t>
        </is>
      </c>
      <c r="E10" s="4" t="n">
        <v>1</v>
      </c>
      <c r="F10" s="4" t="inlineStr">
        <is>
          <t>Sí</t>
        </is>
      </c>
      <c r="G10" s="5">
        <f>HYPERLINK("https://drive.google.com/file/d/1knmK2R923a3gi1_gVtupRA-SaDibnm4O/view", "Ver PDF")</f>
        <v/>
      </c>
      <c r="H10" s="4" t="inlineStr">
        <is>
          <t>N/A</t>
        </is>
      </c>
      <c r="I10" s="4" t="inlineStr">
        <is>
          <t>RECOLECTORA DE LA CIUDAD</t>
        </is>
      </c>
      <c r="J10" s="4" t="n">
        <v>22410</v>
      </c>
      <c r="K10" s="4" t="inlineStr">
        <is>
          <t>MXN</t>
        </is>
      </c>
      <c r="L10" s="4" t="inlineStr">
        <is>
          <t>CORPORACION DE ALIMENTOS DE MEXICALI</t>
        </is>
      </c>
      <c r="M10" s="4" t="inlineStr">
        <is>
          <t>33143</t>
        </is>
      </c>
      <c r="N10" s="4" t="inlineStr">
        <is>
          <t>OK - Corresponde a la OC #1 (ID: 151115) por monto exacto.</t>
        </is>
      </c>
    </row>
    <row r="11">
      <c r="A11" s="4" t="inlineStr">
        <is>
          <t>✅ OK</t>
        </is>
      </c>
      <c r="B11" s="4" t="n">
        <v>10</v>
      </c>
      <c r="C11" s="4" t="inlineStr">
        <is>
          <t>2025-11-19 21:53:24</t>
        </is>
      </c>
      <c r="D11" s="4" t="inlineStr">
        <is>
          <t>Sí</t>
        </is>
      </c>
      <c r="E11" s="4" t="n">
        <v>1</v>
      </c>
      <c r="F11" s="4" t="inlineStr">
        <is>
          <t>Sí</t>
        </is>
      </c>
      <c r="G11" s="5">
        <f>HYPERLINK("https://drive.google.com/file/d/13mJvOvVqMx4VDg7E1KzG3Fxxo0gsE35R/view", "Ver PDF")</f>
        <v/>
      </c>
      <c r="H11" s="4" t="inlineStr">
        <is>
          <t>N/A</t>
        </is>
      </c>
      <c r="I11" s="4" t="inlineStr">
        <is>
          <t>RECOLECTORA DE DESECHOS Y RESIDUOS KING KONG</t>
        </is>
      </c>
      <c r="J11" s="4" t="n">
        <v>13790.41</v>
      </c>
      <c r="K11" s="4" t="inlineStr">
        <is>
          <t>MXN</t>
        </is>
      </c>
      <c r="L11" s="4" t="inlineStr">
        <is>
          <t>CORPORACION DE ALIMENTOS DE MEXICALI</t>
        </is>
      </c>
      <c r="M11" s="4" t="inlineStr">
        <is>
          <t>A845517</t>
        </is>
      </c>
      <c r="N11" s="4" t="inlineStr">
        <is>
          <t>OK - Corresponde a la OC #1 (ID: 151229) por monto exacto.</t>
        </is>
      </c>
    </row>
    <row r="12">
      <c r="A12" s="4" t="inlineStr">
        <is>
          <t>✅ OK</t>
        </is>
      </c>
      <c r="B12" s="4" t="n">
        <v>11</v>
      </c>
      <c r="C12" s="4" t="inlineStr">
        <is>
          <t>2025-11-19 21:53:25</t>
        </is>
      </c>
      <c r="D12" s="4" t="inlineStr">
        <is>
          <t>Sí</t>
        </is>
      </c>
      <c r="E12" s="4" t="n">
        <v>1</v>
      </c>
      <c r="F12" s="4" t="inlineStr">
        <is>
          <t>Sí</t>
        </is>
      </c>
      <c r="G12" s="5">
        <f>HYPERLINK("https://drive.google.com/file/d/1lwcpWhPQVLDEj97UGYwWAUdP5-EqefPt/view", "Ver PDF")</f>
        <v/>
      </c>
      <c r="H12" s="4" t="inlineStr">
        <is>
          <t>N/A</t>
        </is>
      </c>
      <c r="I12" s="4" t="inlineStr">
        <is>
          <t>MORVIL S.A DE C.V.</t>
        </is>
      </c>
      <c r="J12" s="4" t="n">
        <v>3511.07</v>
      </c>
      <c r="K12" s="4" t="inlineStr">
        <is>
          <t>MXN</t>
        </is>
      </c>
      <c r="L12" s="4" t="inlineStr">
        <is>
          <t>Corporacion De Alimentos De Mexicali</t>
        </is>
      </c>
      <c r="M12" s="4" t="inlineStr">
        <is>
          <t>D22187</t>
        </is>
      </c>
      <c r="N12" s="4" t="inlineStr">
        <is>
          <t>OK - Corresponde a la OC #1 (ID: 150677) por monto exacto.</t>
        </is>
      </c>
    </row>
    <row r="13">
      <c r="A13" s="4" t="inlineStr">
        <is>
          <t>✅ OK</t>
        </is>
      </c>
      <c r="B13" s="4" t="n">
        <v>12</v>
      </c>
      <c r="C13" s="4" t="inlineStr">
        <is>
          <t>2025-11-19 21:53:26</t>
        </is>
      </c>
      <c r="D13" s="4" t="inlineStr">
        <is>
          <t>Sí</t>
        </is>
      </c>
      <c r="E13" s="4" t="n">
        <v>1</v>
      </c>
      <c r="F13" s="4" t="inlineStr">
        <is>
          <t>Sí</t>
        </is>
      </c>
      <c r="G13" s="5">
        <f>HYPERLINK("https://drive.google.com/file/d/16bGdOXIUnpb_PI5HQgCD7RS6fOl4MTtu/view", "Ver PDF")</f>
        <v/>
      </c>
      <c r="H13" s="4" t="inlineStr">
        <is>
          <t>N/A</t>
        </is>
      </c>
      <c r="I13" s="4" t="inlineStr">
        <is>
          <t>MORVIL S.A DE C.V.</t>
        </is>
      </c>
      <c r="J13" s="4" t="n">
        <v>1123.3</v>
      </c>
      <c r="K13" s="4" t="inlineStr">
        <is>
          <t>MXN</t>
        </is>
      </c>
      <c r="L13" s="4" t="inlineStr">
        <is>
          <t>Corporacion De Alimentos De Mexicali</t>
        </is>
      </c>
      <c r="M13" s="4" t="inlineStr">
        <is>
          <t>6E749046-1375-5ABE-9BAA-162E6E498F0F</t>
        </is>
      </c>
      <c r="N13" s="4" t="inlineStr">
        <is>
          <t>OK - Corresponde a la OC #1 (ID: 150799) por monto exacto.</t>
        </is>
      </c>
    </row>
    <row r="14">
      <c r="A14" s="4" t="inlineStr">
        <is>
          <t>✅ OK</t>
        </is>
      </c>
      <c r="B14" s="4" t="n">
        <v>13</v>
      </c>
      <c r="C14" s="4" t="inlineStr">
        <is>
          <t>2025-11-19 21:53:27</t>
        </is>
      </c>
      <c r="D14" s="4" t="inlineStr">
        <is>
          <t>Sí</t>
        </is>
      </c>
      <c r="E14" s="4" t="n">
        <v>1</v>
      </c>
      <c r="F14" s="4" t="inlineStr">
        <is>
          <t>Sí</t>
        </is>
      </c>
      <c r="G14" s="5">
        <f>HYPERLINK("https://drive.google.com/file/d/1aSgpbf8HfkQybE_J5e7rkItVA4u5ExTO/view", "Ver PDF")</f>
        <v/>
      </c>
      <c r="H14" s="4" t="inlineStr">
        <is>
          <t>N/A</t>
        </is>
      </c>
      <c r="I14" s="4" t="inlineStr">
        <is>
          <t>MORVIL S.A DE C.V.</t>
        </is>
      </c>
      <c r="J14" s="4" t="n">
        <v>963.48</v>
      </c>
      <c r="K14" s="4" t="inlineStr">
        <is>
          <t>MXN</t>
        </is>
      </c>
      <c r="L14" s="4" t="inlineStr">
        <is>
          <t>Corporacion De Alimentos De Mexicali</t>
        </is>
      </c>
      <c r="M14" s="4" t="inlineStr">
        <is>
          <t>5EFD8EC9-86CD-592A-9C37-FFD142C0D4C6</t>
        </is>
      </c>
      <c r="N14" s="4" t="inlineStr">
        <is>
          <t>OK - Corresponde a la OC #1 (ID: 150699) por monto exacto.</t>
        </is>
      </c>
    </row>
    <row r="15">
      <c r="A15" s="4" t="inlineStr">
        <is>
          <t>✅ OK</t>
        </is>
      </c>
      <c r="B15" s="4" t="n">
        <v>14</v>
      </c>
      <c r="C15" s="4" t="inlineStr">
        <is>
          <t>2025-11-19 21:53:28</t>
        </is>
      </c>
      <c r="D15" s="4" t="inlineStr">
        <is>
          <t>Sí</t>
        </is>
      </c>
      <c r="E15" s="4" t="n">
        <v>1</v>
      </c>
      <c r="F15" s="4" t="inlineStr">
        <is>
          <t>Sí</t>
        </is>
      </c>
      <c r="G15" s="5">
        <f>HYPERLINK("https://drive.google.com/file/d/1_YN04a6fPPekpUmwokaazpEnomztzwhy/view", "Ver PDF")</f>
        <v/>
      </c>
      <c r="H15" s="4" t="inlineStr">
        <is>
          <t>N/A</t>
        </is>
      </c>
      <c r="I15" s="4" t="inlineStr">
        <is>
          <t>MORVIL S.A DE C.V.</t>
        </is>
      </c>
      <c r="J15" s="4" t="n">
        <v>194.4</v>
      </c>
      <c r="K15" s="4" t="inlineStr">
        <is>
          <t>MXN</t>
        </is>
      </c>
      <c r="L15" s="4" t="inlineStr">
        <is>
          <t>Corporacion De Alimentos De Mexicali</t>
        </is>
      </c>
      <c r="M15" s="4" t="inlineStr">
        <is>
          <t>267D3C4F-26CC-5965-9AB7-7B804EF6AD1D</t>
        </is>
      </c>
      <c r="N15" s="4" t="inlineStr">
        <is>
          <t>OK - Corresponde a la OC #1 (ID: 150807) por monto exacto.</t>
        </is>
      </c>
    </row>
    <row r="16">
      <c r="A16" s="4" t="inlineStr">
        <is>
          <t>✅ OK</t>
        </is>
      </c>
      <c r="B16" s="4" t="n">
        <v>15</v>
      </c>
      <c r="C16" s="4" t="inlineStr">
        <is>
          <t>2025-11-19 21:53:29</t>
        </is>
      </c>
      <c r="D16" s="4" t="inlineStr">
        <is>
          <t>Sí</t>
        </is>
      </c>
      <c r="E16" s="4" t="n">
        <v>1</v>
      </c>
      <c r="F16" s="4" t="inlineStr">
        <is>
          <t>Sí</t>
        </is>
      </c>
      <c r="G16" s="5">
        <f>HYPERLINK("https://drive.google.com/file/d/1Rw4eKcVh1nrh2474S01CDOuUvTa56U_A/view", "Ver PDF")</f>
        <v/>
      </c>
      <c r="H16" s="4" t="inlineStr">
        <is>
          <t>N/A</t>
        </is>
      </c>
      <c r="I16" s="4" t="inlineStr">
        <is>
          <t>MORVIL S.A DE C.V.</t>
        </is>
      </c>
      <c r="J16" s="4" t="n">
        <v>249.59</v>
      </c>
      <c r="K16" s="4" t="inlineStr">
        <is>
          <t>MXN</t>
        </is>
      </c>
      <c r="L16" s="4" t="inlineStr">
        <is>
          <t>Corporacion De Alimentos De Mexicali</t>
        </is>
      </c>
      <c r="M16" s="4" t="inlineStr">
        <is>
          <t>808574CE-9679-5AF3-ABC4-ED3FCD9529AF</t>
        </is>
      </c>
      <c r="N16" s="4" t="inlineStr">
        <is>
          <t>OK - Corresponde a la OC #1 (ID: 150805) por monto exacto.</t>
        </is>
      </c>
    </row>
    <row r="17">
      <c r="A17" s="4" t="inlineStr">
        <is>
          <t>✅ OK</t>
        </is>
      </c>
      <c r="B17" s="4" t="n">
        <v>16</v>
      </c>
      <c r="C17" s="4" t="inlineStr">
        <is>
          <t>2025-11-19 21:53:30</t>
        </is>
      </c>
      <c r="D17" s="4" t="inlineStr">
        <is>
          <t>Sí</t>
        </is>
      </c>
      <c r="E17" s="4" t="n">
        <v>1</v>
      </c>
      <c r="F17" s="4" t="inlineStr">
        <is>
          <t>Sí</t>
        </is>
      </c>
      <c r="G17" s="5">
        <f>HYPERLINK("https://drive.google.com/file/d/1z_u2gQdPGlQ-c4I4QCBGWGoZWDGwnDnY/view", "Ver PDF")</f>
        <v/>
      </c>
      <c r="H17" s="4" t="inlineStr">
        <is>
          <t>N/A</t>
        </is>
      </c>
      <c r="I17" s="4" t="inlineStr">
        <is>
          <t>MORVIL S.A DE C.V.</t>
        </is>
      </c>
      <c r="J17" s="4" t="n">
        <v>583.2</v>
      </c>
      <c r="K17" s="4" t="inlineStr">
        <is>
          <t>MXN</t>
        </is>
      </c>
      <c r="L17" s="4" t="inlineStr">
        <is>
          <t>Corporacion De Alimentos De Mexicali</t>
        </is>
      </c>
      <c r="M17" s="4" t="inlineStr">
        <is>
          <t>C4F95CB0-FC7B-5749-B678-7B7DABC40C7D</t>
        </is>
      </c>
      <c r="N17" s="4" t="inlineStr">
        <is>
          <t>OK - Corresponde a la OC #1 (ID: 150862) por monto exacto.</t>
        </is>
      </c>
    </row>
    <row r="18">
      <c r="A18" s="4" t="inlineStr">
        <is>
          <t>✅ OK</t>
        </is>
      </c>
      <c r="B18" s="4" t="n">
        <v>17</v>
      </c>
      <c r="C18" s="4" t="inlineStr">
        <is>
          <t>2025-11-19 21:53:32</t>
        </is>
      </c>
      <c r="D18" s="4" t="inlineStr">
        <is>
          <t>Sí</t>
        </is>
      </c>
      <c r="E18" s="4" t="n">
        <v>1</v>
      </c>
      <c r="F18" s="4" t="inlineStr">
        <is>
          <t>Sí</t>
        </is>
      </c>
      <c r="G18" s="5">
        <f>HYPERLINK("https://drive.google.com/file/d/1xR7xi5jkJBB7WPrih5sseWGDSisacw0P/view", "Ver PDF")</f>
        <v/>
      </c>
      <c r="H18" s="4" t="inlineStr">
        <is>
          <t>N/A</t>
        </is>
      </c>
      <c r="I18" s="4" t="inlineStr">
        <is>
          <t>MORVIL S.A. DE C.V.</t>
        </is>
      </c>
      <c r="J18" s="4" t="n">
        <v>249.59</v>
      </c>
      <c r="K18" s="4" t="inlineStr">
        <is>
          <t>MXN</t>
        </is>
      </c>
      <c r="L18" s="4" t="inlineStr">
        <is>
          <t>Corporación De Alimentos De Mexicali</t>
        </is>
      </c>
      <c r="M18" s="4" t="inlineStr">
        <is>
          <t>5B43A7CB-96CB-5BB3-9A97-7F88CD0AC31F</t>
        </is>
      </c>
      <c r="N18" s="4" t="inlineStr">
        <is>
          <t>OK - Corresponde a la OC #1 (ID: 150700) por monto exacto.</t>
        </is>
      </c>
    </row>
    <row r="19">
      <c r="A19" s="4" t="inlineStr">
        <is>
          <t>✅ OK</t>
        </is>
      </c>
      <c r="B19" s="4" t="n">
        <v>18</v>
      </c>
      <c r="C19" s="4" t="inlineStr">
        <is>
          <t>2025-11-19 21:53:33</t>
        </is>
      </c>
      <c r="D19" s="4" t="inlineStr">
        <is>
          <t>Sí</t>
        </is>
      </c>
      <c r="E19" s="4" t="n">
        <v>1</v>
      </c>
      <c r="F19" s="4" t="inlineStr">
        <is>
          <t>Sí</t>
        </is>
      </c>
      <c r="G19" s="5">
        <f>HYPERLINK("https://drive.google.com/file/d/1JEspnrpbGv9XrrSKnqAZhS-YfKJEy3G8/view", "Ver PDF")</f>
        <v/>
      </c>
      <c r="H19" s="4" t="inlineStr">
        <is>
          <t>N/A</t>
        </is>
      </c>
      <c r="I19" s="4" t="inlineStr">
        <is>
          <t>RECOLECTORA DE DESECHOS Y RESIDUOS KING KONG</t>
        </is>
      </c>
      <c r="J19" s="4" t="n">
        <v>12507.59</v>
      </c>
      <c r="K19" s="4" t="inlineStr">
        <is>
          <t>MXN</t>
        </is>
      </c>
      <c r="L19" s="4" t="inlineStr">
        <is>
          <t>CORPORACION DE ALIMENTOS DE MEXICALI</t>
        </is>
      </c>
      <c r="M19" s="4" t="inlineStr">
        <is>
          <t>A845519</t>
        </is>
      </c>
      <c r="N19" s="4" t="inlineStr">
        <is>
          <t>OK - Corresponde a la OC #1 (ID: 151227) por monto exacto.</t>
        </is>
      </c>
    </row>
    <row r="20">
      <c r="A20" s="2" t="inlineStr">
        <is>
          <t>⚠️ ANOMALÍA</t>
        </is>
      </c>
      <c r="B20" s="2" t="n">
        <v>19</v>
      </c>
      <c r="C20" s="2" t="inlineStr">
        <is>
          <t>2025-11-19 21:53:34</t>
        </is>
      </c>
      <c r="D20" s="2" t="inlineStr">
        <is>
          <t>Sí</t>
        </is>
      </c>
      <c r="E20" s="2" t="n">
        <v>1</v>
      </c>
      <c r="F20" s="2" t="inlineStr">
        <is>
          <t>Sí</t>
        </is>
      </c>
      <c r="G20" s="3">
        <f>HYPERLINK("https://drive.google.com/file/d/1OQF-8TgplGo6cbZ8V7lglZsMiSlJrFhr/view", "Ver PDF")</f>
        <v/>
      </c>
      <c r="H20" s="2" t="inlineStr">
        <is>
          <t>⚠️ Discrepancias</t>
        </is>
      </c>
      <c r="I20" s="2" t="inlineStr">
        <is>
          <t>CORPORACION DE ALIMENTOS DE MEXICALI</t>
        </is>
      </c>
      <c r="J20" s="2" t="n">
        <v>6960</v>
      </c>
      <c r="K20" s="2" t="inlineStr">
        <is>
          <t>MXN</t>
        </is>
      </c>
      <c r="L20" s="2" t="inlineStr">
        <is>
          <t>RECOLECTORA REDYB</t>
        </is>
      </c>
      <c r="M20" s="2" t="inlineStr">
        <is>
          <t>1E6C280C-4C51-5F27-AB8E-942BE682DFFB</t>
        </is>
      </c>
      <c r="N20" s="2" t="inlineStr">
        <is>
          <t>DISCREPANCIA - El monto de la factura ($6,960.00) coincide con la OC #1, pero el proveedor es diferente (Factura: CORPORACION DE ALIMENTOS DE MEXICALI vs OC: RECOLECTORA REDYB S. DE R.L. DE C.V.).</t>
        </is>
      </c>
    </row>
    <row r="21">
      <c r="A21" s="4" t="inlineStr">
        <is>
          <t>✅ OK</t>
        </is>
      </c>
      <c r="B21" s="4" t="n">
        <v>20</v>
      </c>
      <c r="C21" s="4" t="inlineStr">
        <is>
          <t>2025-11-19 21:53:35</t>
        </is>
      </c>
      <c r="D21" s="4" t="inlineStr">
        <is>
          <t>Sí</t>
        </is>
      </c>
      <c r="E21" s="4" t="n">
        <v>1</v>
      </c>
      <c r="F21" s="4" t="inlineStr">
        <is>
          <t>Sí</t>
        </is>
      </c>
      <c r="G21" s="5">
        <f>HYPERLINK("https://drive.google.com/file/d/1GbupipZAKMiYXLx8Cc2VO4zu6rhkL7dD/view", "Ver PDF")</f>
        <v/>
      </c>
      <c r="H21" s="4" t="inlineStr">
        <is>
          <t>N/A</t>
        </is>
      </c>
      <c r="I21" s="4" t="inlineStr">
        <is>
          <t>MORVIL S.A DE C.V.</t>
        </is>
      </c>
      <c r="J21" s="4" t="n">
        <v>4520.98</v>
      </c>
      <c r="K21" s="4" t="inlineStr">
        <is>
          <t>MXN</t>
        </is>
      </c>
      <c r="L21" s="4" t="inlineStr">
        <is>
          <t>Corporacion De Alimentos De Mexicali</t>
        </is>
      </c>
      <c r="M21" s="4" t="inlineStr">
        <is>
          <t>D22111</t>
        </is>
      </c>
      <c r="N21" s="4" t="inlineStr">
        <is>
          <t>OK - Corresponde a la OC #1 (ID: 150801) por monto exacto.</t>
        </is>
      </c>
    </row>
    <row r="22">
      <c r="A22" s="4" t="inlineStr">
        <is>
          <t>✅ OK</t>
        </is>
      </c>
      <c r="B22" s="4" t="n">
        <v>21</v>
      </c>
      <c r="C22" s="4" t="inlineStr">
        <is>
          <t>2025-11-19 21:53:36</t>
        </is>
      </c>
      <c r="D22" s="4" t="inlineStr">
        <is>
          <t>Sí</t>
        </is>
      </c>
      <c r="E22" s="4" t="n">
        <v>1</v>
      </c>
      <c r="F22" s="4" t="inlineStr">
        <is>
          <t>Sí</t>
        </is>
      </c>
      <c r="G22" s="5">
        <f>HYPERLINK("https://drive.google.com/file/d/10tWgeDLUDWs9R3b6RDx-obygSzQ4VA2w/view", "Ver PDF")</f>
        <v/>
      </c>
      <c r="H22" s="4" t="inlineStr">
        <is>
          <t>N/A</t>
        </is>
      </c>
      <c r="I22" s="4" t="inlineStr">
        <is>
          <t>MORVIL S.A de C.V.</t>
        </is>
      </c>
      <c r="J22" s="4" t="n">
        <v>3199.18</v>
      </c>
      <c r="K22" s="4" t="inlineStr">
        <is>
          <t>MXN</t>
        </is>
      </c>
      <c r="L22" s="4" t="inlineStr">
        <is>
          <t>Corporacion De Alimentos De Mexicali</t>
        </is>
      </c>
      <c r="M22" s="4" t="inlineStr">
        <is>
          <t>169383E3-F827-5FE1-8D7C-1024B934FEC6</t>
        </is>
      </c>
      <c r="N22" s="4" t="inlineStr">
        <is>
          <t>OK - Corresponde a la OC #1 (ID: 150874) por monto exacto.</t>
        </is>
      </c>
    </row>
    <row r="23">
      <c r="A23" s="4" t="inlineStr">
        <is>
          <t>✅ OK</t>
        </is>
      </c>
      <c r="B23" s="4" t="n">
        <v>22</v>
      </c>
      <c r="C23" s="4" t="inlineStr">
        <is>
          <t>2025-11-19 21:53:37</t>
        </is>
      </c>
      <c r="D23" s="4" t="inlineStr">
        <is>
          <t>Sí</t>
        </is>
      </c>
      <c r="E23" s="4" t="n">
        <v>1</v>
      </c>
      <c r="F23" s="4" t="inlineStr">
        <is>
          <t>Sí</t>
        </is>
      </c>
      <c r="G23" s="5">
        <f>HYPERLINK("https://drive.google.com/file/d/1BFCgCtoGkzE2vVTij09ikAS8N1O4Kf96/view", "Ver PDF")</f>
        <v/>
      </c>
      <c r="H23" s="4" t="inlineStr">
        <is>
          <t>N/A</t>
        </is>
      </c>
      <c r="I23" s="4" t="inlineStr">
        <is>
          <t>MORVIL S.A de C.V.</t>
        </is>
      </c>
      <c r="J23" s="4" t="n">
        <v>3013.1</v>
      </c>
      <c r="K23" s="4" t="inlineStr">
        <is>
          <t>MXN</t>
        </is>
      </c>
      <c r="L23" s="4" t="inlineStr">
        <is>
          <t>Corporacion De Alimentos De Mexicali</t>
        </is>
      </c>
      <c r="M23" s="4" t="inlineStr">
        <is>
          <t>C7049D2F-9382-5438-904D-71968A22B4CB</t>
        </is>
      </c>
      <c r="N23" s="4" t="inlineStr">
        <is>
          <t>OK - Corresponde a la OC #1 (ID: 150693) por monto exacto.</t>
        </is>
      </c>
    </row>
    <row r="24">
      <c r="A24" s="4" t="inlineStr">
        <is>
          <t>✅ OK</t>
        </is>
      </c>
      <c r="B24" s="4" t="n">
        <v>23</v>
      </c>
      <c r="C24" s="4" t="inlineStr">
        <is>
          <t>2025-11-19 21:53:38</t>
        </is>
      </c>
      <c r="D24" s="4" t="inlineStr">
        <is>
          <t>Sí</t>
        </is>
      </c>
      <c r="E24" s="4" t="n">
        <v>1</v>
      </c>
      <c r="F24" s="4" t="inlineStr">
        <is>
          <t>Sí</t>
        </is>
      </c>
      <c r="G24" s="5">
        <f>HYPERLINK("https://drive.google.com/file/d/1y81cbnVjcM6SpL8-35UrkQi0FfF1JnO_/view", "Ver PDF")</f>
        <v/>
      </c>
      <c r="H24" s="4" t="inlineStr">
        <is>
          <t>N/A</t>
        </is>
      </c>
      <c r="I24" s="4" t="inlineStr">
        <is>
          <t>SERVICIOS MEDIO AMBIENTALES DEL NOROESTE</t>
        </is>
      </c>
      <c r="J24" s="4" t="n">
        <v>31963.8</v>
      </c>
      <c r="K24" s="4" t="inlineStr">
        <is>
          <t>MXN</t>
        </is>
      </c>
      <c r="L24" s="4" t="inlineStr">
        <is>
          <t>CORPORACION DE ALIMENTOS DE MEXICALI LITTLE CAESARS</t>
        </is>
      </c>
      <c r="M24" s="4" t="inlineStr">
        <is>
          <t>7325C7BE-C02E-4E2D-91BC-E37DC6192B96</t>
        </is>
      </c>
      <c r="N24" s="4" t="inlineStr">
        <is>
          <t>OK - Corresponde a la OC #1 (ID: 151280) por monto exacto.</t>
        </is>
      </c>
    </row>
    <row r="25">
      <c r="A25" s="4" t="inlineStr">
        <is>
          <t>✅ OK</t>
        </is>
      </c>
      <c r="B25" s="4" t="n">
        <v>24</v>
      </c>
      <c r="C25" s="4" t="inlineStr">
        <is>
          <t>2025-11-19 21:53:40</t>
        </is>
      </c>
      <c r="D25" s="4" t="inlineStr">
        <is>
          <t>Sí</t>
        </is>
      </c>
      <c r="E25" s="4" t="n">
        <v>1</v>
      </c>
      <c r="F25" s="4" t="inlineStr">
        <is>
          <t>Sí</t>
        </is>
      </c>
      <c r="G25" s="5">
        <f>HYPERLINK("https://drive.google.com/file/d/1EeX16jO_JB0WEvvktTJ4Jd-exgBn-g8X/view", "Ver PDF")</f>
        <v/>
      </c>
      <c r="H25" s="4" t="inlineStr">
        <is>
          <t>N/A</t>
        </is>
      </c>
      <c r="I25" s="4" t="inlineStr">
        <is>
          <t>MORVIL S.A DE C.V.</t>
        </is>
      </c>
      <c r="J25" s="4" t="n">
        <v>220.22</v>
      </c>
      <c r="K25" s="4" t="inlineStr">
        <is>
          <t>MXN</t>
        </is>
      </c>
      <c r="L25" s="4" t="inlineStr">
        <is>
          <t>Corporacion De Alimentos De Mexicali</t>
        </is>
      </c>
      <c r="M25" s="4" t="inlineStr">
        <is>
          <t>8712D3B8-19E2-5127-AD78-756ED37CC98E</t>
        </is>
      </c>
      <c r="N25" s="4" t="inlineStr">
        <is>
          <t>OK - Corresponde a la OC #1 (ID: 150676) por monto exacto.</t>
        </is>
      </c>
    </row>
    <row r="26">
      <c r="A26" s="4" t="inlineStr">
        <is>
          <t>✅ OK</t>
        </is>
      </c>
      <c r="B26" s="4" t="n">
        <v>25</v>
      </c>
      <c r="C26" s="4" t="inlineStr">
        <is>
          <t>2025-11-19 21:53:48</t>
        </is>
      </c>
      <c r="D26" s="4" t="inlineStr">
        <is>
          <t>Sí</t>
        </is>
      </c>
      <c r="E26" s="4" t="n">
        <v>1</v>
      </c>
      <c r="F26" s="4" t="inlineStr">
        <is>
          <t>Sí</t>
        </is>
      </c>
      <c r="G26" s="5">
        <f>HYPERLINK("https://drive.google.com/file/d/1fOCUmYn3E8ho_WGbUcKQvj2LsTzwa0_8/view", "Ver PDF")</f>
        <v/>
      </c>
      <c r="H26" s="4" t="inlineStr">
        <is>
          <t>N/A</t>
        </is>
      </c>
      <c r="I26" s="4" t="inlineStr">
        <is>
          <t>MORVIL S.A DE C.V.</t>
        </is>
      </c>
      <c r="J26" s="4" t="n">
        <v>619.16</v>
      </c>
      <c r="K26" s="4" t="inlineStr">
        <is>
          <t>MXN</t>
        </is>
      </c>
      <c r="L26" s="4" t="inlineStr">
        <is>
          <t>Corporacion De Alimentos De Mexicali</t>
        </is>
      </c>
      <c r="M26" s="4" t="inlineStr">
        <is>
          <t>C07C59FC-51D1-5FB2-B95F-29B9CE2E4C15</t>
        </is>
      </c>
      <c r="N26" s="4" t="inlineStr">
        <is>
          <t>OK - Corresponde a la OC #1 (ID: 150878) por monto exacto.</t>
        </is>
      </c>
    </row>
    <row r="27">
      <c r="A27" s="4" t="inlineStr">
        <is>
          <t>✅ OK</t>
        </is>
      </c>
      <c r="B27" s="4" t="n">
        <v>26</v>
      </c>
      <c r="C27" s="4" t="inlineStr">
        <is>
          <t>2025-11-19 21:53:49</t>
        </is>
      </c>
      <c r="D27" s="4" t="inlineStr">
        <is>
          <t>Sí</t>
        </is>
      </c>
      <c r="E27" s="4" t="n">
        <v>1</v>
      </c>
      <c r="F27" s="4" t="inlineStr">
        <is>
          <t>Sí</t>
        </is>
      </c>
      <c r="G27" s="5">
        <f>HYPERLINK("https://drive.google.com/file/d/1mne4zcHIqXVSD2j-QgJdcem8BlHcIOP_/view", "Ver PDF")</f>
        <v/>
      </c>
      <c r="H27" s="4" t="inlineStr">
        <is>
          <t>N/A</t>
        </is>
      </c>
      <c r="I27" s="4" t="inlineStr">
        <is>
          <t>MORVIL S.A DE C.V.</t>
        </is>
      </c>
      <c r="J27" s="4" t="n">
        <v>388.8</v>
      </c>
      <c r="K27" s="4" t="inlineStr">
        <is>
          <t>MXN</t>
        </is>
      </c>
      <c r="L27" s="4" t="inlineStr">
        <is>
          <t>Corporacion De Alimentos De Mexicali</t>
        </is>
      </c>
      <c r="M27" s="4" t="inlineStr">
        <is>
          <t>18ED317A-F7C8-5514-B60E-1E2770A0CA66</t>
        </is>
      </c>
      <c r="N27" s="4" t="inlineStr">
        <is>
          <t>OK - Corresponde a la OC #1 (ID: 150675) por monto exacto.</t>
        </is>
      </c>
    </row>
    <row r="28">
      <c r="A28" s="4" t="inlineStr">
        <is>
          <t>✅ OK</t>
        </is>
      </c>
      <c r="B28" s="4" t="n">
        <v>27</v>
      </c>
      <c r="C28" s="4" t="inlineStr">
        <is>
          <t>2025-11-19 21:53:50</t>
        </is>
      </c>
      <c r="D28" s="4" t="inlineStr">
        <is>
          <t>Sí</t>
        </is>
      </c>
      <c r="E28" s="4" t="n">
        <v>1</v>
      </c>
      <c r="F28" s="4" t="inlineStr">
        <is>
          <t>Sí</t>
        </is>
      </c>
      <c r="G28" s="5">
        <f>HYPERLINK("https://drive.google.com/file/d/1q6MXB_sFxTmf4NvNtVvpaeRBGIRABYT9/view", "Ver PDF")</f>
        <v/>
      </c>
      <c r="H28" s="4" t="inlineStr">
        <is>
          <t>N/A</t>
        </is>
      </c>
      <c r="I28" s="4" t="inlineStr">
        <is>
          <t>MORVIL S.A DE C.V.</t>
        </is>
      </c>
      <c r="J28" s="4" t="n">
        <v>300.24</v>
      </c>
      <c r="K28" s="4" t="inlineStr">
        <is>
          <t>MXN</t>
        </is>
      </c>
      <c r="L28" s="4" t="inlineStr">
        <is>
          <t>Corporacion De Alimentos De Mexicali</t>
        </is>
      </c>
      <c r="M28" s="4" t="inlineStr">
        <is>
          <t>C17D4B8D-814C-5671-BE19-BD77FD1622F1</t>
        </is>
      </c>
      <c r="N28" s="4" t="inlineStr">
        <is>
          <t>OK - Corresponde a la OC #1 (ID: 150795) por monto exacto.</t>
        </is>
      </c>
    </row>
    <row r="29">
      <c r="A29" s="4" t="inlineStr">
        <is>
          <t>✅ OK</t>
        </is>
      </c>
      <c r="B29" s="4" t="n">
        <v>28</v>
      </c>
      <c r="C29" s="4" t="inlineStr">
        <is>
          <t>2025-11-19 21:53:51</t>
        </is>
      </c>
      <c r="D29" s="4" t="inlineStr">
        <is>
          <t>Sí</t>
        </is>
      </c>
      <c r="E29" s="4" t="n">
        <v>1</v>
      </c>
      <c r="F29" s="4" t="inlineStr">
        <is>
          <t>Sí</t>
        </is>
      </c>
      <c r="G29" s="5">
        <f>HYPERLINK("https://drive.google.com/file/d/1vYlA7ksIaFHzt3_cr1JvQ6TSUXKn6qe7/view", "Ver PDF")</f>
        <v/>
      </c>
      <c r="H29" s="4" t="inlineStr">
        <is>
          <t>N/A</t>
        </is>
      </c>
      <c r="I29" s="4" t="inlineStr">
        <is>
          <t>MORVIL S.A DE C.V.</t>
        </is>
      </c>
      <c r="J29" s="4" t="n">
        <v>3829.9</v>
      </c>
      <c r="K29" s="4" t="inlineStr">
        <is>
          <t>MXN</t>
        </is>
      </c>
      <c r="L29" s="4" t="inlineStr">
        <is>
          <t>Corporacion De Alimentos De Mexicali</t>
        </is>
      </c>
      <c r="M29" s="4" t="inlineStr">
        <is>
          <t>F77FAA41-1BB5-5EE3-A30E-178FFE9C3E54</t>
        </is>
      </c>
      <c r="N29" s="4" t="inlineStr">
        <is>
          <t>OK - Corresponde a la OC #1 (ID: 150967) por monto exacto.</t>
        </is>
      </c>
    </row>
    <row r="30">
      <c r="A30" s="4" t="inlineStr">
        <is>
          <t>✅ OK</t>
        </is>
      </c>
      <c r="B30" s="4" t="n">
        <v>29</v>
      </c>
      <c r="C30" s="4" t="inlineStr">
        <is>
          <t>2025-11-19 21:53:52</t>
        </is>
      </c>
      <c r="D30" s="4" t="inlineStr">
        <is>
          <t>Sí</t>
        </is>
      </c>
      <c r="E30" s="4" t="n">
        <v>1</v>
      </c>
      <c r="F30" s="4" t="inlineStr">
        <is>
          <t>Sí</t>
        </is>
      </c>
      <c r="G30" s="5">
        <f>HYPERLINK("https://drive.google.com/file/d/1F72aYwh4SVb-Cli_tW558Ms0NoZdnG1U/view", "Ver PDF")</f>
        <v/>
      </c>
      <c r="H30" s="4" t="inlineStr">
        <is>
          <t>N/A</t>
        </is>
      </c>
      <c r="I30" s="4" t="inlineStr">
        <is>
          <t>MORVIL S.A DE C.V.</t>
        </is>
      </c>
      <c r="J30" s="4" t="n">
        <v>4158.86</v>
      </c>
      <c r="K30" s="4" t="inlineStr">
        <is>
          <t>MXN</t>
        </is>
      </c>
      <c r="L30" s="4" t="inlineStr">
        <is>
          <t>Corporacion De Alimentos De Mexicali</t>
        </is>
      </c>
      <c r="M30" s="4" t="inlineStr">
        <is>
          <t>D22109</t>
        </is>
      </c>
      <c r="N30" s="4" t="inlineStr">
        <is>
          <t>OK - Corresponde a la OC #1 (ID: 150803) por monto exacto.</t>
        </is>
      </c>
    </row>
    <row r="31">
      <c r="A31" s="4" t="inlineStr">
        <is>
          <t>✅ OK</t>
        </is>
      </c>
      <c r="B31" s="4" t="n">
        <v>30</v>
      </c>
      <c r="C31" s="4" t="inlineStr">
        <is>
          <t>2025-11-19 21:53:53</t>
        </is>
      </c>
      <c r="D31" s="4" t="inlineStr">
        <is>
          <t>Sí</t>
        </is>
      </c>
      <c r="E31" s="4" t="n">
        <v>1</v>
      </c>
      <c r="F31" s="4" t="inlineStr">
        <is>
          <t>Sí</t>
        </is>
      </c>
      <c r="G31" s="5">
        <f>HYPERLINK("https://drive.google.com/file/d/1wvoIk1JPn3XcncxESYIUNVAWK3j8WBAc/view", "Ver PDF")</f>
        <v/>
      </c>
      <c r="H31" s="4" t="inlineStr">
        <is>
          <t>N/A</t>
        </is>
      </c>
      <c r="I31" s="4" t="inlineStr">
        <is>
          <t>MORVIL S.A DE C.V.</t>
        </is>
      </c>
      <c r="J31" s="4" t="n">
        <v>2549.88</v>
      </c>
      <c r="K31" s="4" t="inlineStr">
        <is>
          <t>MXN</t>
        </is>
      </c>
      <c r="L31" s="4" t="inlineStr">
        <is>
          <t>Corporacion De Alimentos De Mexicali</t>
        </is>
      </c>
      <c r="M31" s="4" t="inlineStr">
        <is>
          <t>39A7CB04-0087-5E22-AC5D-67182D7D5100</t>
        </is>
      </c>
      <c r="N31" s="4" t="inlineStr">
        <is>
          <t>OK - Corresponde a la OC #1 (ID: 150797) por monto exacto.</t>
        </is>
      </c>
    </row>
    <row r="32">
      <c r="A32" s="4" t="inlineStr">
        <is>
          <t>✅ OK</t>
        </is>
      </c>
      <c r="B32" s="4" t="n">
        <v>31</v>
      </c>
      <c r="C32" s="4" t="inlineStr">
        <is>
          <t>2025-11-19 21:53:54</t>
        </is>
      </c>
      <c r="D32" s="4" t="inlineStr">
        <is>
          <t>Sí</t>
        </is>
      </c>
      <c r="E32" s="4" t="n">
        <v>1</v>
      </c>
      <c r="F32" s="4" t="inlineStr">
        <is>
          <t>Sí</t>
        </is>
      </c>
      <c r="G32" s="5">
        <f>HYPERLINK("https://drive.google.com/file/d/16ThAu5qLoPop230eqf_MeuGRO1-QbfXT/view", "Ver PDF")</f>
        <v/>
      </c>
      <c r="H32" s="4" t="inlineStr">
        <is>
          <t>N/A</t>
        </is>
      </c>
      <c r="I32" s="4" t="inlineStr">
        <is>
          <t>MORVIL S.A DE C.V.</t>
        </is>
      </c>
      <c r="J32" s="4" t="n">
        <v>3958.51</v>
      </c>
      <c r="K32" s="4" t="inlineStr">
        <is>
          <t>MXN</t>
        </is>
      </c>
      <c r="L32" s="4" t="inlineStr">
        <is>
          <t>Corporacion De Alimentos De Mexicali</t>
        </is>
      </c>
      <c r="M32" s="4" t="inlineStr">
        <is>
          <t>8E6B2459-1ABA-5466-867F-2E9734F266BC</t>
        </is>
      </c>
      <c r="N32" s="4" t="inlineStr">
        <is>
          <t>OK - Corresponde a la OC #1 (ID: 150865) por monto exacto.</t>
        </is>
      </c>
    </row>
    <row r="33">
      <c r="A33" s="4" t="inlineStr">
        <is>
          <t>✅ OK</t>
        </is>
      </c>
      <c r="B33" s="4" t="n">
        <v>32</v>
      </c>
      <c r="C33" s="4" t="inlineStr">
        <is>
          <t>2025-11-19 21:53:56</t>
        </is>
      </c>
      <c r="D33" s="4" t="inlineStr">
        <is>
          <t>Sí</t>
        </is>
      </c>
      <c r="E33" s="4" t="n">
        <v>1</v>
      </c>
      <c r="F33" s="4" t="inlineStr">
        <is>
          <t>Sí</t>
        </is>
      </c>
      <c r="G33" s="5">
        <f>HYPERLINK("https://drive.google.com/file/d/1FJ8YWEETk3qI8wRIuOW5_NmJ0NXizgzS/view", "Ver PDF")</f>
        <v/>
      </c>
      <c r="H33" s="4" t="inlineStr">
        <is>
          <t>N/A</t>
        </is>
      </c>
      <c r="I33" s="4" t="inlineStr">
        <is>
          <t>RECOLECTORA DE DESECHOS Y RESIDUOS KING KONG</t>
        </is>
      </c>
      <c r="J33" s="4" t="n">
        <v>13431.24</v>
      </c>
      <c r="K33" s="4" t="inlineStr">
        <is>
          <t>MXN</t>
        </is>
      </c>
      <c r="L33" s="4" t="inlineStr">
        <is>
          <t>CORPORACION DE ALIMENTOS DE MEXICALI</t>
        </is>
      </c>
      <c r="M33" s="4" t="inlineStr">
        <is>
          <t>845520</t>
        </is>
      </c>
      <c r="N33" s="4" t="inlineStr">
        <is>
          <t>OK - Corresponde a la OC #1 (ID: 151228) por monto exacto.</t>
        </is>
      </c>
    </row>
    <row r="34">
      <c r="A34" s="2" t="inlineStr">
        <is>
          <t>⚠️ ANOMALÍA</t>
        </is>
      </c>
      <c r="B34" s="2" t="n">
        <v>33</v>
      </c>
      <c r="C34" s="2" t="inlineStr">
        <is>
          <t>2025-11-19 21:53:57</t>
        </is>
      </c>
      <c r="D34" s="2" t="inlineStr">
        <is>
          <t>Sí</t>
        </is>
      </c>
      <c r="E34" s="2" t="n">
        <v>1</v>
      </c>
      <c r="F34" s="2" t="inlineStr">
        <is>
          <t>Sí</t>
        </is>
      </c>
      <c r="G34" s="3">
        <f>HYPERLINK("https://drive.google.com/file/d/1ipJ8HyXVatysfBV3Wkveas1D4Qw3GAZZ/view", "Ver PDF")</f>
        <v/>
      </c>
      <c r="H34" s="2" t="inlineStr">
        <is>
          <t>❌ Error al Procesar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Falló la extracción de datos del PDF.</t>
        </is>
      </c>
    </row>
    <row r="35">
      <c r="A35" s="4" t="inlineStr">
        <is>
          <t>✅ OK</t>
        </is>
      </c>
      <c r="B35" s="4" t="n">
        <v>34</v>
      </c>
      <c r="C35" s="4" t="inlineStr">
        <is>
          <t>2025-11-19 21:53:58</t>
        </is>
      </c>
      <c r="D35" s="4" t="inlineStr">
        <is>
          <t>Sí</t>
        </is>
      </c>
      <c r="E35" s="4" t="n">
        <v>1</v>
      </c>
      <c r="F35" s="4" t="inlineStr">
        <is>
          <t>Sí</t>
        </is>
      </c>
      <c r="G35" s="5">
        <f>HYPERLINK("https://drive.google.com/file/d/1qadTloFESCK7bzq-J6cSYnZky5ZOYWXX/view", "Ver PDF")</f>
        <v/>
      </c>
      <c r="H35" s="4" t="inlineStr">
        <is>
          <t>N/A</t>
        </is>
      </c>
      <c r="I35" s="4" t="inlineStr">
        <is>
          <t>RECOLECTORA DE DESECHOS Y RESIDUOS KING KONG</t>
        </is>
      </c>
      <c r="J35" s="4" t="n">
        <v>11142.49</v>
      </c>
      <c r="K35" s="4" t="inlineStr">
        <is>
          <t>MXN</t>
        </is>
      </c>
      <c r="L35" s="4" t="inlineStr">
        <is>
          <t>CORPORACION DE ALIMENTOS DE MEXICALI</t>
        </is>
      </c>
      <c r="M35" s="4" t="inlineStr">
        <is>
          <t>A845518</t>
        </is>
      </c>
      <c r="N35" s="4" t="inlineStr">
        <is>
          <t>OK - Corresponde a la OC #1 (ID: 151226) por monto exacto.</t>
        </is>
      </c>
    </row>
    <row r="36">
      <c r="A36" s="2" t="inlineStr">
        <is>
          <t>⚠️ ANOMALÍA</t>
        </is>
      </c>
      <c r="B36" s="2" t="n">
        <v>35</v>
      </c>
      <c r="C36" s="2" t="inlineStr">
        <is>
          <t>2025-11-19 21:53:59</t>
        </is>
      </c>
      <c r="D36" s="2" t="inlineStr">
        <is>
          <t>No</t>
        </is>
      </c>
      <c r="E36" s="2" t="n">
        <v>0</v>
      </c>
      <c r="F36" s="2" t="inlineStr">
        <is>
          <t>Sí</t>
        </is>
      </c>
      <c r="G36" s="3">
        <f>HYPERLINK("https://drive.google.com/file/d/1LMQlpTjnbbD_L4MlDZBD9gL3DxBwikHi/view", "Ver PDF")</f>
        <v/>
      </c>
      <c r="H36" s="2" t="inlineStr">
        <is>
          <t>⚠️ Sin OC</t>
        </is>
      </c>
      <c r="I36" s="2" t="inlineStr">
        <is>
          <t>Teléfonos del Noroeste, S.A. de C.V.</t>
        </is>
      </c>
      <c r="J36" s="2" t="n">
        <v>121237.75</v>
      </c>
      <c r="K36" s="2" t="inlineStr">
        <is>
          <t>MXN</t>
        </is>
      </c>
      <c r="L36" s="2" t="inlineStr">
        <is>
          <t>CORPORACION DE ALIMENTOS DE MEXICALI S.A. DE C.V.</t>
        </is>
      </c>
      <c r="M36" s="2" t="inlineStr">
        <is>
          <t>5ec41862-b5a7-4780-8428-73622875181b</t>
        </is>
      </c>
      <c r="N36" s="2" t="inlineStr">
        <is>
          <t>No se pudo comparar: Falta Orden de Compra.</t>
        </is>
      </c>
    </row>
    <row r="37">
      <c r="A37" s="2" t="inlineStr">
        <is>
          <t>⚠️ ANOMALÍA</t>
        </is>
      </c>
      <c r="B37" s="2" t="n">
        <v>36</v>
      </c>
      <c r="C37" s="2" t="inlineStr">
        <is>
          <t>2025-11-19 21:54:00</t>
        </is>
      </c>
      <c r="D37" s="2" t="inlineStr">
        <is>
          <t>No</t>
        </is>
      </c>
      <c r="E37" s="2" t="n">
        <v>0</v>
      </c>
      <c r="F37" s="2" t="inlineStr">
        <is>
          <t>Sí</t>
        </is>
      </c>
      <c r="G37" s="3">
        <f>HYPERLINK("https://drive.google.com/file/d/1r6HvFOkOaGQcVPv9RS6B7O_pGIPKBQnv/view", "Ver PDF")</f>
        <v/>
      </c>
      <c r="H37" s="2" t="inlineStr">
        <is>
          <t>⚠️ Sin OC</t>
        </is>
      </c>
      <c r="I37" s="2" t="inlineStr">
        <is>
          <t>RADIOMOVIL DIPSA SA DE CV</t>
        </is>
      </c>
      <c r="J37" s="2" t="n">
        <v>65426.07</v>
      </c>
      <c r="K37" s="2" t="inlineStr">
        <is>
          <t>MXN</t>
        </is>
      </c>
      <c r="L37" s="2" t="inlineStr">
        <is>
          <t>CORPORACION DE ALIMENTOS DE MEXICALI</t>
        </is>
      </c>
      <c r="M37" s="2" t="inlineStr">
        <is>
          <t>Telcel AC-0053108187</t>
        </is>
      </c>
      <c r="N37" s="2" t="inlineStr">
        <is>
          <t>No se pudo comparar: Falta Orden de Compra.</t>
        </is>
      </c>
    </row>
    <row r="38">
      <c r="A38" s="4" t="inlineStr">
        <is>
          <t>✅ OK</t>
        </is>
      </c>
      <c r="B38" s="4" t="n">
        <v>37</v>
      </c>
      <c r="C38" s="4" t="inlineStr">
        <is>
          <t>2025-11-19 21:54:01</t>
        </is>
      </c>
      <c r="D38" s="4" t="inlineStr">
        <is>
          <t>Sí</t>
        </is>
      </c>
      <c r="E38" s="4" t="n">
        <v>1</v>
      </c>
      <c r="F38" s="4" t="inlineStr">
        <is>
          <t>Sí</t>
        </is>
      </c>
      <c r="G38" s="5">
        <f>HYPERLINK("https://drive.google.com/file/d/1aoVRD7EFzRu8gI0OKqhiniX4Z9OyD8oO/view", "Ver PDF")</f>
        <v/>
      </c>
      <c r="H38" s="4" t="inlineStr">
        <is>
          <t>N/A</t>
        </is>
      </c>
      <c r="I38" s="4" t="inlineStr">
        <is>
          <t>VALE TOTAL S.A. de C.V.</t>
        </is>
      </c>
      <c r="J38" s="4" t="n">
        <v>10000.05</v>
      </c>
      <c r="K38" s="4" t="inlineStr">
        <is>
          <t>MXN</t>
        </is>
      </c>
      <c r="L38" s="4" t="inlineStr">
        <is>
          <t>CORPORACION DE ALIMENTOS DE ME</t>
        </is>
      </c>
      <c r="M38" s="4" t="inlineStr">
        <is>
          <t>104356</t>
        </is>
      </c>
      <c r="N38" s="4" t="inlineStr">
        <is>
          <t>OK - Corresponde a la OC #1 (ID: 151834) por monto exacto.</t>
        </is>
      </c>
    </row>
    <row r="39">
      <c r="A39" s="2" t="inlineStr">
        <is>
          <t>⚠️ ANOMALÍA</t>
        </is>
      </c>
      <c r="B39" s="2" t="n">
        <v>38</v>
      </c>
      <c r="C39" s="2" t="inlineStr">
        <is>
          <t>2025-11-19 21:54:02</t>
        </is>
      </c>
      <c r="D39" s="2" t="inlineStr">
        <is>
          <t>No</t>
        </is>
      </c>
      <c r="E39" s="2" t="n">
        <v>0</v>
      </c>
      <c r="F39" s="2" t="inlineStr">
        <is>
          <t>Sí</t>
        </is>
      </c>
      <c r="G39" s="3">
        <f>HYPERLINK("https://drive.google.com/file/d/1bbX0-1ZzCy7zAlGaHwla2eurNYWOzhHQ/view", "Ver PDF")</f>
        <v/>
      </c>
      <c r="H39" s="2" t="inlineStr">
        <is>
          <t>⚠️ Sin OC</t>
        </is>
      </c>
      <c r="I39" s="2" t="inlineStr">
        <is>
          <t>HOT N READY MEXICO S DE RL DE CV</t>
        </is>
      </c>
      <c r="J39" s="2" t="n">
        <v>555576.1</v>
      </c>
      <c r="K39" s="2" t="inlineStr">
        <is>
          <t>MXN</t>
        </is>
      </c>
      <c r="L39" s="2" t="inlineStr"/>
      <c r="M39" s="2" t="inlineStr"/>
      <c r="N39" s="2" t="inlineStr">
        <is>
          <t>No se pudo comparar: Falta Orden de Compra.</t>
        </is>
      </c>
    </row>
    <row r="40">
      <c r="A40" s="2" t="inlineStr">
        <is>
          <t>⚠️ ANOMALÍA</t>
        </is>
      </c>
      <c r="B40" s="2" t="n">
        <v>39</v>
      </c>
      <c r="C40" s="2" t="inlineStr">
        <is>
          <t>2025-11-19 21:54:04</t>
        </is>
      </c>
      <c r="D40" s="2" t="inlineStr">
        <is>
          <t>No</t>
        </is>
      </c>
      <c r="E40" s="2" t="n">
        <v>0</v>
      </c>
      <c r="F40" s="2" t="inlineStr">
        <is>
          <t>Sí</t>
        </is>
      </c>
      <c r="G40" s="3">
        <f>HYPERLINK("https://drive.google.com/file/d/1cRAiZKnr3bex1x2G5Nv_8sHu9EzIEI1h/view", "Ver PDF")</f>
        <v/>
      </c>
      <c r="H40" s="2" t="inlineStr">
        <is>
          <t>⚠️ Sin OC</t>
        </is>
      </c>
      <c r="I40" s="2" t="inlineStr">
        <is>
          <t>CORPORACION DE ALIMENTOS DE MEXICALI</t>
        </is>
      </c>
      <c r="J40" s="2" t="n">
        <v>1608</v>
      </c>
      <c r="K40" s="2" t="inlineStr">
        <is>
          <t>MXN</t>
        </is>
      </c>
      <c r="L40" s="2" t="inlineStr">
        <is>
          <t>null</t>
        </is>
      </c>
      <c r="M40" s="2" t="inlineStr">
        <is>
          <t>CE3DC5FA-F044-41E4-A4E6-926228FAAF19</t>
        </is>
      </c>
      <c r="N40" s="2" t="inlineStr">
        <is>
          <t>No se pudo comparar: Falta Orden de Compra.</t>
        </is>
      </c>
    </row>
    <row r="41">
      <c r="A41" s="2" t="inlineStr">
        <is>
          <t>⚠️ ANOMALÍA</t>
        </is>
      </c>
      <c r="B41" s="2" t="n">
        <v>40</v>
      </c>
      <c r="C41" s="2" t="inlineStr">
        <is>
          <t>2025-11-19 21:54:04</t>
        </is>
      </c>
      <c r="D41" s="2" t="inlineStr">
        <is>
          <t>No</t>
        </is>
      </c>
      <c r="E41" s="2" t="n">
        <v>0</v>
      </c>
      <c r="F41" s="2" t="inlineStr">
        <is>
          <t>Sí</t>
        </is>
      </c>
      <c r="G41" s="3">
        <f>HYPERLINK("https://drive.google.com/file/d/1c9wdOhk-9ZR7GsPqsfVOYhtC-4yi64M0/view", "Ver PDF")</f>
        <v/>
      </c>
      <c r="H41" s="2" t="inlineStr">
        <is>
          <t>⚠️ Sin OC</t>
        </is>
      </c>
      <c r="I41" s="2" t="inlineStr">
        <is>
          <t>NIVEL DESARROLLOS URBANOS</t>
        </is>
      </c>
      <c r="J41" s="2" t="n">
        <v>717504.84</v>
      </c>
      <c r="K41" s="2" t="inlineStr">
        <is>
          <t>MXN</t>
        </is>
      </c>
      <c r="L41" s="2" t="inlineStr">
        <is>
          <t>INMOBILIARIA KARMAR</t>
        </is>
      </c>
      <c r="M41" s="2" t="inlineStr">
        <is>
          <t>2E31DF7F-4F3C-4E26-954E-32D510BD9688</t>
        </is>
      </c>
      <c r="N41" s="2" t="inlineStr">
        <is>
          <t>No se pudo comparar: Falta Orden de Compra.</t>
        </is>
      </c>
    </row>
    <row r="42">
      <c r="A42" s="2" t="inlineStr">
        <is>
          <t>⚠️ ANOMALÍA</t>
        </is>
      </c>
      <c r="B42" s="2" t="n">
        <v>41</v>
      </c>
      <c r="C42" s="2" t="inlineStr">
        <is>
          <t>2025-11-19 21:54:05</t>
        </is>
      </c>
      <c r="D42" s="2" t="inlineStr">
        <is>
          <t>No</t>
        </is>
      </c>
      <c r="E42" s="2" t="n">
        <v>0</v>
      </c>
      <c r="F42" s="2" t="inlineStr">
        <is>
          <t>Sí</t>
        </is>
      </c>
      <c r="G42" s="3">
        <f>HYPERLINK("https://drive.google.com/file/d/1vpZyb5vRDNi9JYRGXTPexjdhGQllRCwZ/view", "Ver PDF")</f>
        <v/>
      </c>
      <c r="H42" s="2" t="inlineStr">
        <is>
          <t>⚠️ Sin OC</t>
        </is>
      </c>
      <c r="I42" s="2" t="inlineStr">
        <is>
          <t>MIGUEL ANDRE RAMIREZ ESTRADA</t>
        </is>
      </c>
      <c r="J42" s="2" t="n">
        <v>259327.82</v>
      </c>
      <c r="K42" s="2" t="inlineStr">
        <is>
          <t>MXN</t>
        </is>
      </c>
      <c r="L42" s="2" t="inlineStr">
        <is>
          <t>INMOBILIARIA KARMAR</t>
        </is>
      </c>
      <c r="M42" s="2" t="inlineStr">
        <is>
          <t>8683CDF6-A796-4849-9A9B-0D9D657D79E9</t>
        </is>
      </c>
      <c r="N42" s="2" t="inlineStr">
        <is>
          <t>No se pudo comparar: Falta Orden de Compra.</t>
        </is>
      </c>
    </row>
    <row r="43">
      <c r="A43" s="2" t="inlineStr">
        <is>
          <t>⚠️ ANOMALÍA</t>
        </is>
      </c>
      <c r="B43" s="2" t="n">
        <v>42</v>
      </c>
      <c r="C43" s="2" t="inlineStr">
        <is>
          <t>2025-11-19 21:54:06</t>
        </is>
      </c>
      <c r="D43" s="2" t="inlineStr">
        <is>
          <t>No</t>
        </is>
      </c>
      <c r="E43" s="2" t="n">
        <v>0</v>
      </c>
      <c r="F43" s="2" t="inlineStr">
        <is>
          <t>Sí</t>
        </is>
      </c>
      <c r="G43" s="3">
        <f>HYPERLINK("https://drive.google.com/file/d/1IA1HNrJGpl52-EwRJlZTyOQJ5s9eCiG1/view", "Ver PDF")</f>
        <v/>
      </c>
      <c r="H43" s="2" t="inlineStr">
        <is>
          <t>⚠️ Sin OC</t>
        </is>
      </c>
      <c r="I43" s="2" t="inlineStr">
        <is>
          <t>NIVEL DESARROLLOS URBANOS</t>
        </is>
      </c>
      <c r="J43" s="2" t="n">
        <v>832401.36</v>
      </c>
      <c r="K43" s="2" t="inlineStr">
        <is>
          <t>MXN</t>
        </is>
      </c>
      <c r="L43" s="2" t="inlineStr">
        <is>
          <t>INMOBILIARIA KARMAR</t>
        </is>
      </c>
      <c r="M43" s="2" t="inlineStr">
        <is>
          <t>F068AF0E-4BFD-41B5-A66F-AC30F375FFAA</t>
        </is>
      </c>
      <c r="N43" s="2" t="inlineStr">
        <is>
          <t>No se pudo comparar: Falta Orden de Compra.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42</v>
      </c>
    </row>
    <row r="3">
      <c r="A3" t="inlineStr">
        <is>
          <t>Registros Correctos</t>
        </is>
      </c>
      <c r="B3" t="n">
        <v>30</v>
      </c>
    </row>
    <row r="4">
      <c r="A4" t="inlineStr">
        <is>
          <t>Total de Anomalías</t>
        </is>
      </c>
      <c r="B4" t="n">
        <v>12</v>
      </c>
    </row>
    <row r="5">
      <c r="A5" t="inlineStr">
        <is>
          <t>Porcentaje de Correctos</t>
        </is>
      </c>
      <c r="B5" t="inlineStr">
        <is>
          <t>71.4%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1</v>
      </c>
    </row>
    <row r="9">
      <c r="A9" t="inlineStr">
        <is>
          <t>⚠️ Sin OC</t>
        </is>
      </c>
      <c r="B9" t="n">
        <v>10</v>
      </c>
    </row>
    <row r="10">
      <c r="A10" t="inlineStr">
        <is>
          <t>❌ Error al Procesar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2025-11-19T22:08:37Z</dcterms:created>
  <dcterms:modified xsi:type="dcterms:W3CDTF">2025-11-19T22:08:37Z</dcterms:modified>
</cp:coreProperties>
</file>