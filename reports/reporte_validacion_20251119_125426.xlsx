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60" customWidth="1" min="7" max="7"/>
    <col width="15" customWidth="1" min="8" max="8"/>
    <col width="29" customWidth="1" min="9" max="9"/>
    <col width="12" customWidth="1" min="10" max="10"/>
    <col width="12" customWidth="1" min="11" max="11"/>
    <col width="17" customWidth="1" min="12" max="12"/>
    <col width="38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29</v>
      </c>
      <c r="C2" s="2" t="inlineStr">
        <is>
          <t>2025-11-19 20:49:12</t>
        </is>
      </c>
      <c r="D2" s="2" t="inlineStr">
        <is>
          <t>No</t>
        </is>
      </c>
      <c r="E2" s="2" t="n">
        <v>0</v>
      </c>
      <c r="F2" s="2" t="inlineStr">
        <is>
          <t>Sí</t>
        </is>
      </c>
      <c r="G2" s="3">
        <f>HYPERLINK("https://drive.google.com/file/d/1FAPYrbCXF5sq7M0t0wJr5AkMRLloq9qn/view", "Ver PDF")</f>
        <v/>
      </c>
      <c r="H2" s="2" t="inlineStr">
        <is>
          <t>⚠️ Sin OC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/>
    </row>
    <row r="3">
      <c r="A3" s="2" t="inlineStr">
        <is>
          <t>⚠️ ANOMALÍA</t>
        </is>
      </c>
      <c r="B3" s="2" t="n">
        <v>30</v>
      </c>
      <c r="C3" s="2" t="inlineStr">
        <is>
          <t>2025-11-19 20:49:13</t>
        </is>
      </c>
      <c r="D3" s="2" t="inlineStr">
        <is>
          <t>No</t>
        </is>
      </c>
      <c r="E3" s="2" t="n">
        <v>0</v>
      </c>
      <c r="F3" s="2" t="inlineStr">
        <is>
          <t>Sí</t>
        </is>
      </c>
      <c r="G3" s="3">
        <f>HYPERLINK("https://drive.google.com/file/d/18ARk1HkS3ESQOhZsQIis1DZg6zDfPICE/view", "Ver PDF")</f>
        <v/>
      </c>
      <c r="H3" s="2" t="inlineStr">
        <is>
          <t>⚠️ Sin OC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N/A</t>
        </is>
      </c>
      <c r="N3" s="2" t="inlineStr"/>
    </row>
    <row r="4">
      <c r="A4" s="2" t="inlineStr">
        <is>
          <t>⚠️ ANOMALÍA</t>
        </is>
      </c>
      <c r="B4" s="2" t="n">
        <v>31</v>
      </c>
      <c r="C4" s="2" t="inlineStr">
        <is>
          <t>2025-11-19 20:49:14</t>
        </is>
      </c>
      <c r="D4" s="2" t="inlineStr">
        <is>
          <t>No</t>
        </is>
      </c>
      <c r="E4" s="2" t="n">
        <v>0</v>
      </c>
      <c r="F4" s="2" t="inlineStr">
        <is>
          <t>Sí</t>
        </is>
      </c>
      <c r="G4" s="3">
        <f>HYPERLINK("https://drive.google.com/file/d/1en_rLxycK17PmoUs_Mg_8nzI6333lJQb/view", "Ver PDF")</f>
        <v/>
      </c>
      <c r="H4" s="2" t="inlineStr">
        <is>
          <t>⚠️ Sin OC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/>
    </row>
    <row r="5">
      <c r="A5" s="4" t="inlineStr">
        <is>
          <t>✅ OK</t>
        </is>
      </c>
      <c r="B5" s="4" t="n">
        <v>32</v>
      </c>
      <c r="C5" s="4" t="inlineStr">
        <is>
          <t>2025-11-19 20:49:16</t>
        </is>
      </c>
      <c r="D5" s="4" t="inlineStr">
        <is>
          <t>Sí</t>
        </is>
      </c>
      <c r="E5" s="4" t="n">
        <v>1</v>
      </c>
      <c r="F5" s="4" t="inlineStr">
        <is>
          <t>Sí</t>
        </is>
      </c>
      <c r="G5" s="5">
        <f>HYPERLINK("https://drive.google.com/file/d/1xzQYL5GF8LN9GGw6w2qRX_eTzj2RrjQc/view", "Ver PDF")</f>
        <v/>
      </c>
      <c r="H5" s="4" t="inlineStr">
        <is>
          <t>N/A</t>
        </is>
      </c>
      <c r="I5" s="4" t="inlineStr">
        <is>
          <t>FRANCISCO AGUILAR HERNANDEZ</t>
        </is>
      </c>
      <c r="J5" s="4" t="n">
        <v>305724.9</v>
      </c>
      <c r="K5" s="4" t="inlineStr">
        <is>
          <t>MXN</t>
        </is>
      </c>
      <c r="L5" s="4" t="inlineStr">
        <is>
          <t>CAFE CACHANILLA</t>
        </is>
      </c>
      <c r="M5" s="4" t="inlineStr">
        <is>
          <t>0534AFB2-F834-4BC5-81F9-1C281BF5F29C</t>
        </is>
      </c>
      <c r="N5" s="4" t="inlineStr">
        <is>
          <t>OK - Corresponde a la OC #1 (ID: 151276) por monto exacto.</t>
        </is>
      </c>
    </row>
    <row r="6">
      <c r="A6" s="4" t="inlineStr">
        <is>
          <t>✅ OK</t>
        </is>
      </c>
      <c r="B6" s="4" t="n">
        <v>33</v>
      </c>
      <c r="C6" s="4" t="inlineStr">
        <is>
          <t>2025-11-19 20:49:24</t>
        </is>
      </c>
      <c r="D6" s="4" t="inlineStr">
        <is>
          <t>Sí</t>
        </is>
      </c>
      <c r="E6" s="4" t="n">
        <v>1</v>
      </c>
      <c r="F6" s="4" t="inlineStr">
        <is>
          <t>Sí</t>
        </is>
      </c>
      <c r="G6" s="5">
        <f>HYPERLINK("https://drive.google.com/file/d/1ufRVsCTCQgmZ9KmvTTMd8DE3xCvnqGVZ/view", "Ver PDF")</f>
        <v/>
      </c>
      <c r="H6" s="4" t="inlineStr">
        <is>
          <t>N/A</t>
        </is>
      </c>
      <c r="I6" s="4" t="inlineStr">
        <is>
          <t>CARNES SELECTAS DE MEXICO</t>
        </is>
      </c>
      <c r="J6" s="4" t="n">
        <v>267746.83</v>
      </c>
      <c r="K6" s="4" t="inlineStr">
        <is>
          <t>MXN</t>
        </is>
      </c>
      <c r="L6" s="4" t="inlineStr">
        <is>
          <t>CAFE CACHANILLA</t>
        </is>
      </c>
      <c r="M6" s="4" t="inlineStr">
        <is>
          <t>3DBDC4B5-9A01-4FA2-8A30-D44D82D06C0B</t>
        </is>
      </c>
      <c r="N6" s="4" t="inlineStr">
        <is>
          <t>OK - Corresponde a la OC #1 (ID: 151328) por monto exacto.</t>
        </is>
      </c>
    </row>
    <row r="7">
      <c r="A7" s="4" t="inlineStr">
        <is>
          <t>✅ OK</t>
        </is>
      </c>
      <c r="B7" s="4" t="n">
        <v>34</v>
      </c>
      <c r="C7" s="4" t="inlineStr">
        <is>
          <t>2025-11-19 20:49:26</t>
        </is>
      </c>
      <c r="D7" s="4" t="inlineStr">
        <is>
          <t>Sí</t>
        </is>
      </c>
      <c r="E7" s="4" t="n">
        <v>1</v>
      </c>
      <c r="F7" s="4" t="inlineStr">
        <is>
          <t>Sí</t>
        </is>
      </c>
      <c r="G7" s="5">
        <f>HYPERLINK("https://drive.google.com/file/d/1DfVj4-Fu_9L0AL0RNqnij2wmGES61p-M/view", "Ver PDF")</f>
        <v/>
      </c>
      <c r="H7" s="4" t="inlineStr">
        <is>
          <t>N/A</t>
        </is>
      </c>
      <c r="I7" s="4" t="inlineStr">
        <is>
          <t>BRENDA GUZMAN CHAVEZ</t>
        </is>
      </c>
      <c r="J7" s="4" t="n">
        <v>7899.5</v>
      </c>
      <c r="K7" s="4" t="inlineStr">
        <is>
          <t>MXN</t>
        </is>
      </c>
      <c r="L7" s="4" t="inlineStr">
        <is>
          <t>CAFE CACHANILLA</t>
        </is>
      </c>
      <c r="M7" s="4" t="inlineStr">
        <is>
          <t>256B1C33-55EA-43F3-A30E-9B7A5DFDED7F</t>
        </is>
      </c>
      <c r="N7" s="4" t="inlineStr">
        <is>
          <t>OK - Corresponde a la OC #1 (ID: 147893) por monto exacto.</t>
        </is>
      </c>
    </row>
    <row r="8">
      <c r="A8" s="2" t="inlineStr">
        <is>
          <t>⚠️ ANOMALÍA</t>
        </is>
      </c>
      <c r="B8" s="2" t="n">
        <v>35</v>
      </c>
      <c r="C8" s="2" t="inlineStr">
        <is>
          <t>2025-11-19 20:49:27</t>
        </is>
      </c>
      <c r="D8" s="2" t="inlineStr">
        <is>
          <t>No</t>
        </is>
      </c>
      <c r="E8" s="2" t="n">
        <v>0</v>
      </c>
      <c r="F8" s="2" t="inlineStr">
        <is>
          <t>Sí</t>
        </is>
      </c>
      <c r="G8" s="3">
        <f>HYPERLINK("https://drive.google.com/file/d/13PMUfXbUE3Dg7nENYY3faGLOHGsSas3g/view", "Ver PDF")</f>
        <v/>
      </c>
      <c r="H8" s="2" t="inlineStr">
        <is>
          <t>⚠️ Sin OC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7</v>
      </c>
    </row>
    <row r="3">
      <c r="A3" t="inlineStr">
        <is>
          <t>Registros Correctos</t>
        </is>
      </c>
      <c r="B3" t="n">
        <v>3</v>
      </c>
    </row>
    <row r="4">
      <c r="A4" t="inlineStr">
        <is>
          <t>Total de Anomalías</t>
        </is>
      </c>
      <c r="B4" t="n">
        <v>4</v>
      </c>
    </row>
    <row r="5">
      <c r="A5" t="inlineStr">
        <is>
          <t>Porcentaje de Correctos</t>
        </is>
      </c>
      <c r="B5" t="inlineStr">
        <is>
          <t>42.9%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Sin OC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2025-11-19T20:54:26Z</dcterms:created>
  <dcterms:modified xsi:type="dcterms:W3CDTF">2025-11-19T20:54:26Z</dcterms:modified>
</cp:coreProperties>
</file>