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60" customWidth="1" min="7" max="7"/>
    <col width="18" customWidth="1" min="8" max="8"/>
    <col width="51" customWidth="1" min="9" max="9"/>
    <col width="12" customWidth="1" min="10" max="10"/>
    <col width="12" customWidth="1" min="11" max="11"/>
    <col width="60" customWidth="1" min="12" max="12"/>
    <col width="38" customWidth="1" min="13" max="13"/>
    <col width="60" customWidth="1" min="14" max="14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Link Factura</t>
        </is>
      </c>
      <c r="H1" s="1" t="inlineStr">
        <is>
          <t>Tipo Anomalía</t>
        </is>
      </c>
      <c r="I1" s="1" t="inlineStr">
        <is>
          <t>Proveedor</t>
        </is>
      </c>
      <c r="J1" s="1" t="inlineStr">
        <is>
          <t>Gran Total</t>
        </is>
      </c>
      <c r="K1" s="1" t="inlineStr">
        <is>
          <t>Moneda</t>
        </is>
      </c>
      <c r="L1" s="1" t="inlineStr">
        <is>
          <t>Receptor</t>
        </is>
      </c>
      <c r="M1" s="1" t="inlineStr">
        <is>
          <t>Folio</t>
        </is>
      </c>
      <c r="N1" s="1" t="inlineStr">
        <is>
          <t>Resultado Validación</t>
        </is>
      </c>
    </row>
    <row r="2">
      <c r="A2" s="2" t="inlineStr">
        <is>
          <t>⚠️ ANOMALÍA</t>
        </is>
      </c>
      <c r="B2" s="2" t="n">
        <v>36</v>
      </c>
      <c r="C2" s="2" t="inlineStr">
        <is>
          <t>2025-11-19 20:55:39</t>
        </is>
      </c>
      <c r="D2" s="2" t="inlineStr">
        <is>
          <t>No</t>
        </is>
      </c>
      <c r="E2" s="2" t="n">
        <v>0</v>
      </c>
      <c r="F2" s="2" t="inlineStr">
        <is>
          <t>Sí</t>
        </is>
      </c>
      <c r="G2" s="3">
        <f>HYPERLINK("https://drive.google.com/file/d/1_GVJdQbb6kXdQnDjrnHcDmOxLzcphKdS/view", "Ver PDF")</f>
        <v/>
      </c>
      <c r="H2" s="2" t="inlineStr">
        <is>
          <t>⚠️ Sin OC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/>
    </row>
    <row r="3">
      <c r="A3" s="2" t="inlineStr">
        <is>
          <t>⚠️ ANOMALÍA</t>
        </is>
      </c>
      <c r="B3" s="2" t="n">
        <v>37</v>
      </c>
      <c r="C3" s="2" t="inlineStr">
        <is>
          <t>2025-11-19 20:55:40</t>
        </is>
      </c>
      <c r="D3" s="2" t="inlineStr">
        <is>
          <t>No</t>
        </is>
      </c>
      <c r="E3" s="2" t="n">
        <v>0</v>
      </c>
      <c r="F3" s="2" t="inlineStr">
        <is>
          <t>Sí</t>
        </is>
      </c>
      <c r="G3" s="3">
        <f>HYPERLINK("https://drive.google.com/file/d/19Y2eQ4SrdpjJNk2xVg_YT5NNI0W0o9Ww/view", "Ver PDF")</f>
        <v/>
      </c>
      <c r="H3" s="2" t="inlineStr">
        <is>
          <t>⚠️ Sin OC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/>
    </row>
    <row r="4">
      <c r="A4" s="2" t="inlineStr">
        <is>
          <t>⚠️ ANOMALÍA</t>
        </is>
      </c>
      <c r="B4" s="2" t="n">
        <v>38</v>
      </c>
      <c r="C4" s="2" t="inlineStr">
        <is>
          <t>2025-11-19 20:55:41</t>
        </is>
      </c>
      <c r="D4" s="2" t="inlineStr">
        <is>
          <t>No</t>
        </is>
      </c>
      <c r="E4" s="2" t="n">
        <v>0</v>
      </c>
      <c r="F4" s="2" t="inlineStr">
        <is>
          <t>Sí</t>
        </is>
      </c>
      <c r="G4" s="3">
        <f>HYPERLINK("https://drive.google.com/file/d/1Nc9n6gIQZsZSo0_m56SQzJXfLAGXV1c9/view", "Ver PDF")</f>
        <v/>
      </c>
      <c r="H4" s="2" t="inlineStr">
        <is>
          <t>⚠️ Sin OC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/>
    </row>
    <row r="5">
      <c r="A5" s="4" t="inlineStr">
        <is>
          <t>✅ OK</t>
        </is>
      </c>
      <c r="B5" s="4" t="n">
        <v>39</v>
      </c>
      <c r="C5" s="4" t="inlineStr">
        <is>
          <t>2025-11-19 20:55:43</t>
        </is>
      </c>
      <c r="D5" s="4" t="inlineStr">
        <is>
          <t>Sí</t>
        </is>
      </c>
      <c r="E5" s="4" t="n">
        <v>1</v>
      </c>
      <c r="F5" s="4" t="inlineStr">
        <is>
          <t>Sí</t>
        </is>
      </c>
      <c r="G5" s="5">
        <f>HYPERLINK("https://drive.google.com/file/d/1PfzVvzkAhegzcsjX2rZoR3Q4dPmnDPPT/view", "Ver PDF")</f>
        <v/>
      </c>
      <c r="H5" s="4" t="inlineStr">
        <is>
          <t>N/A</t>
        </is>
      </c>
      <c r="I5" s="4" t="inlineStr">
        <is>
          <t>FRANCISCO AGUILAR HERNANDEZ</t>
        </is>
      </c>
      <c r="J5" s="4" t="n">
        <v>305724.9</v>
      </c>
      <c r="K5" s="4" t="inlineStr">
        <is>
          <t>MXN</t>
        </is>
      </c>
      <c r="L5" s="4" t="inlineStr">
        <is>
          <t>CAFE CACHANILLA</t>
        </is>
      </c>
      <c r="M5" s="4" t="inlineStr">
        <is>
          <t>0534AFB2-F834-4BC5-81F9-1C281BF5F29C</t>
        </is>
      </c>
      <c r="N5" s="4" t="inlineStr">
        <is>
          <t>OK - Corresponde a la OC #1 (ID: 151276) por monto exacto.</t>
        </is>
      </c>
    </row>
    <row r="6">
      <c r="A6" s="4" t="inlineStr">
        <is>
          <t>✅ OK</t>
        </is>
      </c>
      <c r="B6" s="4" t="n">
        <v>40</v>
      </c>
      <c r="C6" s="4" t="inlineStr">
        <is>
          <t>2025-11-19 20:55:44</t>
        </is>
      </c>
      <c r="D6" s="4" t="inlineStr">
        <is>
          <t>Sí</t>
        </is>
      </c>
      <c r="E6" s="4" t="n">
        <v>1</v>
      </c>
      <c r="F6" s="4" t="inlineStr">
        <is>
          <t>Sí</t>
        </is>
      </c>
      <c r="G6" s="5">
        <f>HYPERLINK("https://drive.google.com/file/d/1OF6VNuuaz3sIbNhqFMTRrwsX1SUrKYW0/view", "Ver PDF")</f>
        <v/>
      </c>
      <c r="H6" s="4" t="inlineStr">
        <is>
          <t>N/A</t>
        </is>
      </c>
      <c r="I6" s="4" t="inlineStr">
        <is>
          <t>FACTURACARNES SELECTAS DE MEXICO</t>
        </is>
      </c>
      <c r="J6" s="4" t="n">
        <v>267746.83</v>
      </c>
      <c r="K6" s="4" t="inlineStr">
        <is>
          <t>MXN</t>
        </is>
      </c>
      <c r="L6" s="4" t="inlineStr">
        <is>
          <t>CAFE CACHANILLA</t>
        </is>
      </c>
      <c r="M6" s="4" t="inlineStr">
        <is>
          <t>3DBDC4B5-9A01-4FA2-8A30-D44D82D06C0B</t>
        </is>
      </c>
      <c r="N6" s="4" t="inlineStr">
        <is>
          <t>OK - Corresponde a la OC #1 (ID: 151328) por monto exacto.</t>
        </is>
      </c>
    </row>
    <row r="7">
      <c r="A7" s="4" t="inlineStr">
        <is>
          <t>✅ OK</t>
        </is>
      </c>
      <c r="B7" s="4" t="n">
        <v>41</v>
      </c>
      <c r="C7" s="4" t="inlineStr">
        <is>
          <t>2025-11-19 20:55:45</t>
        </is>
      </c>
      <c r="D7" s="4" t="inlineStr">
        <is>
          <t>Sí</t>
        </is>
      </c>
      <c r="E7" s="4" t="n">
        <v>1</v>
      </c>
      <c r="F7" s="4" t="inlineStr">
        <is>
          <t>Sí</t>
        </is>
      </c>
      <c r="G7" s="5">
        <f>HYPERLINK("https://drive.google.com/file/d/1vWt3mVFjqzSMW6EIya-bAas_xOrsUnnY/view", "Ver PDF")</f>
        <v/>
      </c>
      <c r="H7" s="4" t="inlineStr">
        <is>
          <t>N/A</t>
        </is>
      </c>
      <c r="I7" s="4" t="inlineStr">
        <is>
          <t>BRENDA GUZMAN CHAVEZ</t>
        </is>
      </c>
      <c r="J7" s="4" t="n">
        <v>7899.5</v>
      </c>
      <c r="K7" s="4" t="inlineStr">
        <is>
          <t>MXN</t>
        </is>
      </c>
      <c r="L7" s="4" t="inlineStr">
        <is>
          <t>CAFE CACHANILLA</t>
        </is>
      </c>
      <c r="M7" s="4" t="inlineStr">
        <is>
          <t>256B1C33-55EA-43F3-A30E-9B7A5DFDED7F</t>
        </is>
      </c>
      <c r="N7" s="4" t="inlineStr">
        <is>
          <t>OK - Corresponde a la OC #1 (ID: 147893) por monto exacto.</t>
        </is>
      </c>
    </row>
    <row r="8">
      <c r="A8" s="2" t="inlineStr">
        <is>
          <t>⚠️ ANOMALÍA</t>
        </is>
      </c>
      <c r="B8" s="2" t="n">
        <v>42</v>
      </c>
      <c r="C8" s="2" t="inlineStr">
        <is>
          <t>2025-11-19 20:55:47</t>
        </is>
      </c>
      <c r="D8" s="2" t="inlineStr">
        <is>
          <t>No</t>
        </is>
      </c>
      <c r="E8" s="2" t="n">
        <v>0</v>
      </c>
      <c r="F8" s="2" t="inlineStr">
        <is>
          <t>Sí</t>
        </is>
      </c>
      <c r="G8" s="3">
        <f>HYPERLINK("https://drive.google.com/file/d/1fp2LSqAA7CrJkQdaYaZe6ar6MjHXQUYZ/view", "Ver PDF")</f>
        <v/>
      </c>
      <c r="H8" s="2" t="inlineStr">
        <is>
          <t>⚠️ Sin OC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/>
    </row>
    <row r="9">
      <c r="A9" s="4" t="inlineStr">
        <is>
          <t>✅ OK</t>
        </is>
      </c>
      <c r="B9" s="4" t="n">
        <v>43</v>
      </c>
      <c r="C9" s="4" t="inlineStr">
        <is>
          <t>2025-11-19 20:55:48</t>
        </is>
      </c>
      <c r="D9" s="4" t="inlineStr">
        <is>
          <t>Sí</t>
        </is>
      </c>
      <c r="E9" s="4" t="n">
        <v>1</v>
      </c>
      <c r="F9" s="4" t="inlineStr">
        <is>
          <t>Sí</t>
        </is>
      </c>
      <c r="G9" s="5">
        <f>HYPERLINK("https://drive.google.com/file/d/1A8qsKoXw-Rhytx6PFxj1wdWEolUrEBb5/view", "Ver PDF")</f>
        <v/>
      </c>
      <c r="H9" s="4" t="inlineStr">
        <is>
          <t>N/A</t>
        </is>
      </c>
      <c r="I9" s="4" t="inlineStr">
        <is>
          <t>JUAN PABLO BOJORQUEZ NORIEGA</t>
        </is>
      </c>
      <c r="J9" s="4" t="n">
        <v>1341.5</v>
      </c>
      <c r="K9" s="4" t="inlineStr">
        <is>
          <t>MXN</t>
        </is>
      </c>
      <c r="L9" s="4" t="inlineStr">
        <is>
          <t>CLIENTE MEXICALI, BAJA CALIFORNIA C.P. 21850 MEXICO</t>
        </is>
      </c>
      <c r="M9" s="4" t="inlineStr">
        <is>
          <t>106da690-ed9a-486e-8fac-0cf3bccc9c12</t>
        </is>
      </c>
      <c r="N9" s="4" t="inlineStr">
        <is>
          <t>OK - Corresponde a la OC #1 (ID: 150723) por monto exacto.</t>
        </is>
      </c>
    </row>
    <row r="10">
      <c r="A10" s="4" t="inlineStr">
        <is>
          <t>✅ OK</t>
        </is>
      </c>
      <c r="B10" s="4" t="n">
        <v>44</v>
      </c>
      <c r="C10" s="4" t="inlineStr">
        <is>
          <t>2025-11-19 20:55:50</t>
        </is>
      </c>
      <c r="D10" s="4" t="inlineStr">
        <is>
          <t>Sí</t>
        </is>
      </c>
      <c r="E10" s="4" t="n">
        <v>1</v>
      </c>
      <c r="F10" s="4" t="inlineStr">
        <is>
          <t>Sí</t>
        </is>
      </c>
      <c r="G10" s="5">
        <f>HYPERLINK("https://drive.google.com/file/d/1v75PVH5Rc6TRS8HYgDqct1_Cam-v8sdU/view", "Ver PDF")</f>
        <v/>
      </c>
      <c r="H10" s="4" t="inlineStr">
        <is>
          <t>N/A</t>
        </is>
      </c>
      <c r="I10" s="4" t="inlineStr">
        <is>
          <t>JUAN PABLO BOJORQUEZ NORIEGA</t>
        </is>
      </c>
      <c r="J10" s="4" t="n">
        <v>668.5</v>
      </c>
      <c r="K10" s="4" t="inlineStr">
        <is>
          <t>MXN</t>
        </is>
      </c>
      <c r="L10" s="4" t="inlineStr">
        <is>
          <t>BRAULIO MALDONADO LOC 85Y86 COL. CENTRO MEXICALI, BAJA CALIFORNIA C.P. 21850</t>
        </is>
      </c>
      <c r="M10" s="4" t="inlineStr">
        <is>
          <t>0ac710d0-9054-48c4-b7b7-e23e79802a8d</t>
        </is>
      </c>
      <c r="N10" s="4" t="inlineStr">
        <is>
          <t>OK - Corresponde a la OC #1 (ID: 150720) por monto exacto.</t>
        </is>
      </c>
    </row>
    <row r="11">
      <c r="A11" s="4" t="inlineStr">
        <is>
          <t>✅ OK</t>
        </is>
      </c>
      <c r="B11" s="4" t="n">
        <v>45</v>
      </c>
      <c r="C11" s="4" t="inlineStr">
        <is>
          <t>2025-11-19 20:55:51</t>
        </is>
      </c>
      <c r="D11" s="4" t="inlineStr">
        <is>
          <t>Sí</t>
        </is>
      </c>
      <c r="E11" s="4" t="n">
        <v>1</v>
      </c>
      <c r="F11" s="4" t="inlineStr">
        <is>
          <t>Sí</t>
        </is>
      </c>
      <c r="G11" s="5">
        <f>HYPERLINK("https://drive.google.com/file/d/1tjDDB0QDTSXhodX-3iDWiSaYTnPPioBi/view", "Ver PDF")</f>
        <v/>
      </c>
      <c r="H11" s="4" t="inlineStr">
        <is>
          <t>N/A</t>
        </is>
      </c>
      <c r="I11" s="4" t="inlineStr">
        <is>
          <t>JUAN PABLO BOJORQUEZ NORIEGA</t>
        </is>
      </c>
      <c r="J11" s="4" t="n">
        <v>5286.5</v>
      </c>
      <c r="K11" s="4" t="inlineStr">
        <is>
          <t>MXN</t>
        </is>
      </c>
      <c r="L11" s="4" t="inlineStr">
        <is>
          <t>MEXICALI, BAJA CALIFORNIA C.P. 21850 MEXICO</t>
        </is>
      </c>
      <c r="M11" s="4" t="inlineStr">
        <is>
          <t>b998f06c-7e14-43c1-9126-4e7d0567d180</t>
        </is>
      </c>
      <c r="N11" s="4" t="inlineStr">
        <is>
          <t>OK - Corresponde a la OC #1 (ID: 150787) por monto exacto.</t>
        </is>
      </c>
    </row>
    <row r="12">
      <c r="A12" s="4" t="inlineStr">
        <is>
          <t>✅ OK</t>
        </is>
      </c>
      <c r="B12" s="4" t="n">
        <v>46</v>
      </c>
      <c r="C12" s="4" t="inlineStr">
        <is>
          <t>2025-11-19 20:55:53</t>
        </is>
      </c>
      <c r="D12" s="4" t="inlineStr">
        <is>
          <t>Sí</t>
        </is>
      </c>
      <c r="E12" s="4" t="n">
        <v>1</v>
      </c>
      <c r="F12" s="4" t="inlineStr">
        <is>
          <t>Sí</t>
        </is>
      </c>
      <c r="G12" s="5">
        <f>HYPERLINK("https://drive.google.com/file/d/1c2G0ItNcQICfZKdzpswa6-hKzH7KQdSq/view", "Ver PDF")</f>
        <v/>
      </c>
      <c r="H12" s="4" t="inlineStr">
        <is>
          <t>N/A</t>
        </is>
      </c>
      <c r="I12" s="4" t="inlineStr">
        <is>
          <t>JUAN PABLO BOJORQUEZ NORIEGA</t>
        </is>
      </c>
      <c r="J12" s="4" t="n">
        <v>2051</v>
      </c>
      <c r="K12" s="4" t="inlineStr">
        <is>
          <t>MXN</t>
        </is>
      </c>
      <c r="L12" s="4" t="inlineStr">
        <is>
          <t>BRAULIO MALDONADO LOC 85Y86 COL. CENTRO MEXICALI, BAJA CALIFORNIA C.P. 21850</t>
        </is>
      </c>
      <c r="M12" s="4" t="inlineStr">
        <is>
          <t>514c508d-9ece-45ca-9fe8-f2c4018f2c08</t>
        </is>
      </c>
      <c r="N12" s="4" t="inlineStr">
        <is>
          <t>OK - Corresponde a la OC #1 (ID: 150785) por monto exacto.</t>
        </is>
      </c>
    </row>
    <row r="13">
      <c r="A13" s="4" t="inlineStr">
        <is>
          <t>✅ OK</t>
        </is>
      </c>
      <c r="B13" s="4" t="n">
        <v>47</v>
      </c>
      <c r="C13" s="4" t="inlineStr">
        <is>
          <t>2025-11-19 20:55:55</t>
        </is>
      </c>
      <c r="D13" s="4" t="inlineStr">
        <is>
          <t>Sí</t>
        </is>
      </c>
      <c r="E13" s="4" t="n">
        <v>1</v>
      </c>
      <c r="F13" s="4" t="inlineStr">
        <is>
          <t>Sí</t>
        </is>
      </c>
      <c r="G13" s="5">
        <f>HYPERLINK("https://drive.google.com/file/d/1hVs8ZFh0h_CuDTSElU6HXj5VBWc9Byy6/view", "Ver PDF")</f>
        <v/>
      </c>
      <c r="H13" s="4" t="inlineStr">
        <is>
          <t>N/A</t>
        </is>
      </c>
      <c r="I13" s="4" t="inlineStr">
        <is>
          <t>JUAN PABLO BOJORQUEZ NORIEGA</t>
        </is>
      </c>
      <c r="J13" s="4" t="n">
        <v>4091.7</v>
      </c>
      <c r="K13" s="4" t="inlineStr">
        <is>
          <t>MXN</t>
        </is>
      </c>
      <c r="L13" s="4" t="inlineStr">
        <is>
          <t>MEXICALI, BAJA CALIFORNIA C.P. 21850 MEXICO</t>
        </is>
      </c>
      <c r="M13" s="4" t="inlineStr">
        <is>
          <t>5C852DE0-07F9-4B75-B890-8D4B4C638142</t>
        </is>
      </c>
      <c r="N13" s="4" t="inlineStr">
        <is>
          <t>OK - Corresponde a la OC #1 (ID: 150562) por monto exacto.</t>
        </is>
      </c>
    </row>
    <row r="14">
      <c r="A14" s="4" t="inlineStr">
        <is>
          <t>✅ OK</t>
        </is>
      </c>
      <c r="B14" s="4" t="n">
        <v>48</v>
      </c>
      <c r="C14" s="4" t="inlineStr">
        <is>
          <t>2025-11-19 20:55:56</t>
        </is>
      </c>
      <c r="D14" s="4" t="inlineStr">
        <is>
          <t>Sí</t>
        </is>
      </c>
      <c r="E14" s="4" t="n">
        <v>1</v>
      </c>
      <c r="F14" s="4" t="inlineStr">
        <is>
          <t>Sí</t>
        </is>
      </c>
      <c r="G14" s="5">
        <f>HYPERLINK("https://drive.google.com/file/d/1hMyQcg2_XM76yioW2CyDqDtprWhXTA_P/view", "Ver PDF")</f>
        <v/>
      </c>
      <c r="H14" s="4" t="inlineStr">
        <is>
          <t>N/A</t>
        </is>
      </c>
      <c r="I14" s="4" t="inlineStr">
        <is>
          <t>JUAN PABLO BOJORQUEZ NORIEGA</t>
        </is>
      </c>
      <c r="J14" s="4" t="n">
        <v>2378.1</v>
      </c>
      <c r="K14" s="4" t="inlineStr">
        <is>
          <t>MXN</t>
        </is>
      </c>
      <c r="L14" s="4" t="inlineStr">
        <is>
          <t>BRAULIO MALDONADO LOC 85Y86 COL. CENTRO, MEXICALI, BAJA CALIFORNIA C.P. 21850, MEXICO</t>
        </is>
      </c>
      <c r="M14" s="4" t="inlineStr">
        <is>
          <t>6B6BAD91-3746-4FEA-8C04-8FDBAE50FE43</t>
        </is>
      </c>
      <c r="N14" s="4" t="inlineStr">
        <is>
          <t>OK - Corresponde a la OC #1 (ID: 150563) por monto exacto.</t>
        </is>
      </c>
    </row>
    <row r="15">
      <c r="A15" s="4" t="inlineStr">
        <is>
          <t>✅ OK</t>
        </is>
      </c>
      <c r="B15" s="4" t="n">
        <v>49</v>
      </c>
      <c r="C15" s="4" t="inlineStr">
        <is>
          <t>2025-11-19 20:55:58</t>
        </is>
      </c>
      <c r="D15" s="4" t="inlineStr">
        <is>
          <t>Sí</t>
        </is>
      </c>
      <c r="E15" s="4" t="n">
        <v>1</v>
      </c>
      <c r="F15" s="4" t="inlineStr">
        <is>
          <t>Sí</t>
        </is>
      </c>
      <c r="G15" s="5">
        <f>HYPERLINK("https://drive.google.com/file/d/1V7aG71CMLmpriAi90w1cA2_gdSd596dS/view", "Ver PDF")</f>
        <v/>
      </c>
      <c r="H15" s="4" t="inlineStr">
        <is>
          <t>N/A</t>
        </is>
      </c>
      <c r="I15" s="4" t="inlineStr">
        <is>
          <t>JUAN PABLO BOJORQUEZ NORIEGA</t>
        </is>
      </c>
      <c r="J15" s="4" t="n">
        <v>2719.5</v>
      </c>
      <c r="K15" s="4" t="inlineStr">
        <is>
          <t>MXN</t>
        </is>
      </c>
      <c r="L15" s="4" t="inlineStr">
        <is>
          <t>BRAULIO MALDONADO LOC 85Y86 COL. CENTRO MEXICALI, BAJA CALIFORNIA C.P. 21850 MEXICO</t>
        </is>
      </c>
      <c r="M15" s="4" t="inlineStr">
        <is>
          <t>a90c8965-38bb-4cca-96a0-c9be365ee193</t>
        </is>
      </c>
      <c r="N15" s="4" t="inlineStr">
        <is>
          <t>OK - Corresponde a la OC #1 (ID: 150634) por monto exacto.</t>
        </is>
      </c>
    </row>
    <row r="16">
      <c r="A16" s="4" t="inlineStr">
        <is>
          <t>✅ OK</t>
        </is>
      </c>
      <c r="B16" s="4" t="n">
        <v>50</v>
      </c>
      <c r="C16" s="4" t="inlineStr">
        <is>
          <t>2025-11-19 20:55:59</t>
        </is>
      </c>
      <c r="D16" s="4" t="inlineStr">
        <is>
          <t>Sí</t>
        </is>
      </c>
      <c r="E16" s="4" t="n">
        <v>1</v>
      </c>
      <c r="F16" s="4" t="inlineStr">
        <is>
          <t>Sí</t>
        </is>
      </c>
      <c r="G16" s="5">
        <f>HYPERLINK("https://drive.google.com/file/d/1g3IHwMp0C0R1KByiJocnChDshBj7M8Ci/view", "Ver PDF")</f>
        <v/>
      </c>
      <c r="H16" s="4" t="inlineStr">
        <is>
          <t>N/A</t>
        </is>
      </c>
      <c r="I16" s="4" t="inlineStr">
        <is>
          <t>JUAN PABLO BOJORQUEZ NORIEGA</t>
        </is>
      </c>
      <c r="J16" s="4" t="n">
        <v>2043.1</v>
      </c>
      <c r="K16" s="4" t="inlineStr">
        <is>
          <t>MXN</t>
        </is>
      </c>
      <c r="L16" s="4" t="inlineStr">
        <is>
          <t>MEXICALI, BAJA CALIFORNIA C.P. 21850 MEXICO</t>
        </is>
      </c>
      <c r="M16" s="4" t="inlineStr">
        <is>
          <t>DBBDE2D3-185D-413D-9618-C8E52CEAFFA3</t>
        </is>
      </c>
      <c r="N16" s="4" t="inlineStr">
        <is>
          <t>OK - Corresponde a la OC #1 (ID: 150560) por monto exacto.</t>
        </is>
      </c>
    </row>
    <row r="17">
      <c r="A17" s="2" t="inlineStr">
        <is>
          <t>⚠️ ANOMALÍA</t>
        </is>
      </c>
      <c r="B17" s="2" t="n">
        <v>51</v>
      </c>
      <c r="C17" s="2" t="inlineStr">
        <is>
          <t>2025-11-19 20:56:00</t>
        </is>
      </c>
      <c r="D17" s="2" t="inlineStr">
        <is>
          <t>Sí</t>
        </is>
      </c>
      <c r="E17" s="2" t="n">
        <v>1</v>
      </c>
      <c r="F17" s="2" t="inlineStr">
        <is>
          <t>Sí</t>
        </is>
      </c>
      <c r="G17" s="3">
        <f>HYPERLINK("https://drive.google.com/file/d/1RgWA4XUZ5RQlchRCrrbEVdSr3ThkJjXC/view", "Ver PDF")</f>
        <v/>
      </c>
      <c r="H17" s="2" t="inlineStr">
        <is>
          <t>⚠️ Discrepancias</t>
        </is>
      </c>
      <c r="I17" s="2" t="inlineStr">
        <is>
          <t>DEL HUERTO DISTRIBUIDORA</t>
        </is>
      </c>
      <c r="J17" s="2" t="n">
        <v>3970.44</v>
      </c>
      <c r="K17" s="2" t="inlineStr">
        <is>
          <t>MXN</t>
        </is>
      </c>
      <c r="L17" s="2" t="inlineStr">
        <is>
          <t>CAFE CACHANILLA</t>
        </is>
      </c>
      <c r="M17" s="2" t="inlineStr">
        <is>
          <t>849</t>
        </is>
      </c>
      <c r="N17" s="2" t="inlineStr">
        <is>
          <t>DISCREPANCIA - El monto de la factura ($3,970.44) coincide con la OC #1, pero el proveedor es diferente (Factura: DEL HUERTO DISTRIBUIDORA, OC: JONATHAN JIMENEZ CIREROL).</t>
        </is>
      </c>
    </row>
    <row r="18">
      <c r="A18" s="4" t="inlineStr">
        <is>
          <t>✅ OK</t>
        </is>
      </c>
      <c r="B18" s="4" t="n">
        <v>52</v>
      </c>
      <c r="C18" s="4" t="inlineStr">
        <is>
          <t>2025-11-19 20:56:01</t>
        </is>
      </c>
      <c r="D18" s="4" t="inlineStr">
        <is>
          <t>Sí</t>
        </is>
      </c>
      <c r="E18" s="4" t="n">
        <v>1</v>
      </c>
      <c r="F18" s="4" t="inlineStr">
        <is>
          <t>Sí</t>
        </is>
      </c>
      <c r="G18" s="5">
        <f>HYPERLINK("https://drive.google.com/file/d/1oNVsKCKlXmjzhCqtYG9m7yDz6fRMJUv-/view", "Ver PDF")</f>
        <v/>
      </c>
      <c r="H18" s="4" t="inlineStr">
        <is>
          <t>N/A</t>
        </is>
      </c>
      <c r="I18" s="4" t="inlineStr">
        <is>
          <t>DEL HUERTO DISTRIBUIDORA JONATHAN JIMENEZ CIREROL</t>
        </is>
      </c>
      <c r="J18" s="4" t="n">
        <v>5308.21</v>
      </c>
      <c r="K18" s="4" t="inlineStr">
        <is>
          <t>MXN</t>
        </is>
      </c>
      <c r="L18" s="4" t="inlineStr">
        <is>
          <t>CAFE CACHANILLA</t>
        </is>
      </c>
      <c r="M18" s="4" t="inlineStr">
        <is>
          <t>845</t>
        </is>
      </c>
      <c r="N18" s="4" t="inlineStr">
        <is>
          <t>OK - Corresponde a la OC #1 (ID: 151284) por monto exacto.</t>
        </is>
      </c>
    </row>
    <row r="19">
      <c r="A19" s="4" t="inlineStr">
        <is>
          <t>✅ OK</t>
        </is>
      </c>
      <c r="B19" s="4" t="n">
        <v>53</v>
      </c>
      <c r="C19" s="4" t="inlineStr">
        <is>
          <t>2025-11-19 20:56:03</t>
        </is>
      </c>
      <c r="D19" s="4" t="inlineStr">
        <is>
          <t>Sí</t>
        </is>
      </c>
      <c r="E19" s="4" t="n">
        <v>1</v>
      </c>
      <c r="F19" s="4" t="inlineStr">
        <is>
          <t>Sí</t>
        </is>
      </c>
      <c r="G19" s="5">
        <f>HYPERLINK("https://drive.google.com/file/d/1SkBbCUJBtw1GtSOydJ-C02S0R_K9cZGm/view", "Ver PDF")</f>
        <v/>
      </c>
      <c r="H19" s="4" t="inlineStr">
        <is>
          <t>N/A</t>
        </is>
      </c>
      <c r="I19" s="4" t="inlineStr">
        <is>
          <t>BRENDA GUZMAN CHAVEZ</t>
        </is>
      </c>
      <c r="J19" s="4" t="n">
        <v>7259</v>
      </c>
      <c r="K19" s="4" t="inlineStr">
        <is>
          <t>MXN</t>
        </is>
      </c>
      <c r="L19" s="4" t="inlineStr">
        <is>
          <t>CAFE CACHANILLA</t>
        </is>
      </c>
      <c r="M19" s="4" t="inlineStr">
        <is>
          <t>3C97CCF6-4FD0-4245-B284-88676E1006DA</t>
        </is>
      </c>
      <c r="N19" s="4" t="inlineStr">
        <is>
          <t>OK - Corresponde a la OC #1 (ID: 147021) por monto exacto.</t>
        </is>
      </c>
    </row>
    <row r="20">
      <c r="A20" s="2" t="inlineStr">
        <is>
          <t>⚠️ ANOMALÍA</t>
        </is>
      </c>
      <c r="B20" s="2" t="n">
        <v>54</v>
      </c>
      <c r="C20" s="2" t="inlineStr">
        <is>
          <t>2025-11-19 20:56:04</t>
        </is>
      </c>
      <c r="D20" s="2" t="inlineStr">
        <is>
          <t>No</t>
        </is>
      </c>
      <c r="E20" s="2" t="n">
        <v>0</v>
      </c>
      <c r="F20" s="2" t="inlineStr">
        <is>
          <t>Sí</t>
        </is>
      </c>
      <c r="G20" s="3">
        <f>HYPERLINK("https://drive.google.com/file/d/1OlWCkxXgCVNf9gtVITUYieFmZZYbmGR2/view", "Ver PDF")</f>
        <v/>
      </c>
      <c r="H20" s="2" t="inlineStr">
        <is>
          <t>⚠️ Sin OC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/>
    </row>
    <row r="21">
      <c r="A21" s="2" t="inlineStr">
        <is>
          <t>⚠️ ANOMALÍA</t>
        </is>
      </c>
      <c r="B21" s="2" t="n">
        <v>55</v>
      </c>
      <c r="C21" s="2" t="inlineStr">
        <is>
          <t>2025-11-19 20:56:05</t>
        </is>
      </c>
      <c r="D21" s="2" t="inlineStr">
        <is>
          <t>No</t>
        </is>
      </c>
      <c r="E21" s="2" t="n">
        <v>0</v>
      </c>
      <c r="F21" s="2" t="inlineStr">
        <is>
          <t>Sí</t>
        </is>
      </c>
      <c r="G21" s="3">
        <f>HYPERLINK("https://drive.google.com/file/d/1nWD_WQJ6wci43QTTgWaxOGjbLsShumMK/view", "Ver PDF")</f>
        <v/>
      </c>
      <c r="H21" s="2" t="inlineStr">
        <is>
          <t>⚠️ Sin OC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N/A</t>
        </is>
      </c>
      <c r="N21" s="2" t="inlineStr"/>
    </row>
    <row r="22">
      <c r="A22" s="4" t="inlineStr">
        <is>
          <t>✅ OK</t>
        </is>
      </c>
      <c r="B22" s="4" t="n">
        <v>56</v>
      </c>
      <c r="C22" s="4" t="inlineStr">
        <is>
          <t>2025-11-19 20:56:06</t>
        </is>
      </c>
      <c r="D22" s="4" t="inlineStr">
        <is>
          <t>Sí</t>
        </is>
      </c>
      <c r="E22" s="4" t="n">
        <v>1</v>
      </c>
      <c r="F22" s="4" t="inlineStr">
        <is>
          <t>Sí</t>
        </is>
      </c>
      <c r="G22" s="5">
        <f>HYPERLINK("https://drive.google.com/file/d/1Y5emVbrj5h1t3ct8nWP2Jh9jAbub3xbL/view", "Ver PDF")</f>
        <v/>
      </c>
      <c r="H22" s="4" t="inlineStr">
        <is>
          <t>N/A</t>
        </is>
      </c>
      <c r="I22" s="4" t="inlineStr">
        <is>
          <t>JUAN PABLO BOJORQUEZ NORIEGA</t>
        </is>
      </c>
      <c r="J22" s="4" t="n">
        <v>1321.5</v>
      </c>
      <c r="K22" s="4" t="inlineStr">
        <is>
          <t>MXN</t>
        </is>
      </c>
      <c r="L22" s="4" t="inlineStr">
        <is>
          <t>BRAULIO MALDONADO LOC 85Y86 COL. CENTRO, MEXICALI, BAJA CALIFORNIA C.P. 21850</t>
        </is>
      </c>
      <c r="M22" s="4" t="inlineStr">
        <is>
          <t>0fb2c041-f1a2-43e7-8c38-e2c064802c43</t>
        </is>
      </c>
      <c r="N22" s="4" t="inlineStr">
        <is>
          <t>OK - Corresponde a la OC #1 (ID: 150788) por monto exacto.</t>
        </is>
      </c>
    </row>
    <row r="23">
      <c r="A23" s="4" t="inlineStr">
        <is>
          <t>✅ OK</t>
        </is>
      </c>
      <c r="B23" s="4" t="n">
        <v>57</v>
      </c>
      <c r="C23" s="4" t="inlineStr">
        <is>
          <t>2025-11-19 20:56:07</t>
        </is>
      </c>
      <c r="D23" s="4" t="inlineStr">
        <is>
          <t>Sí</t>
        </is>
      </c>
      <c r="E23" s="4" t="n">
        <v>1</v>
      </c>
      <c r="F23" s="4" t="inlineStr">
        <is>
          <t>Sí</t>
        </is>
      </c>
      <c r="G23" s="5">
        <f>HYPERLINK("https://drive.google.com/file/d/1jHLV7gcJoVBuBCrg-DgRBzrYQRdISTde/view", "Ver PDF")</f>
        <v/>
      </c>
      <c r="H23" s="4" t="inlineStr">
        <is>
          <t>N/A</t>
        </is>
      </c>
      <c r="I23" s="4" t="inlineStr">
        <is>
          <t>JUAN PABLO BOJORQUEZ NORIEGA</t>
        </is>
      </c>
      <c r="J23" s="4" t="n">
        <v>9185</v>
      </c>
      <c r="K23" s="4" t="inlineStr">
        <is>
          <t>MXN</t>
        </is>
      </c>
      <c r="L23" s="4" t="inlineStr">
        <is>
          <t>BRAULIO MALDONADO LOC 85Y86 COL. CENTRO MEXICALI, BAJA CALIFORNIA C.P. 21850</t>
        </is>
      </c>
      <c r="M23" s="4" t="inlineStr">
        <is>
          <t>dbd21561-055b-447a-a15d-0f6367ab4112</t>
        </is>
      </c>
      <c r="N23" s="4" t="inlineStr">
        <is>
          <t>OK - Corresponde a la OC #1 (ID: 150852) por monto exacto.</t>
        </is>
      </c>
    </row>
    <row r="24">
      <c r="A24" s="4" t="inlineStr">
        <is>
          <t>✅ OK</t>
        </is>
      </c>
      <c r="B24" s="4" t="n">
        <v>58</v>
      </c>
      <c r="C24" s="4" t="inlineStr">
        <is>
          <t>2025-11-19 20:56:08</t>
        </is>
      </c>
      <c r="D24" s="4" t="inlineStr">
        <is>
          <t>Sí</t>
        </is>
      </c>
      <c r="E24" s="4" t="n">
        <v>1</v>
      </c>
      <c r="F24" s="4" t="inlineStr">
        <is>
          <t>Sí</t>
        </is>
      </c>
      <c r="G24" s="5">
        <f>HYPERLINK("https://drive.google.com/file/d/1iguCkKYgous-L5YaFY5R0sy3W0hiWRYc/view", "Ver PDF")</f>
        <v/>
      </c>
      <c r="H24" s="4" t="inlineStr">
        <is>
          <t>N/A</t>
        </is>
      </c>
      <c r="I24" s="4" t="inlineStr">
        <is>
          <t>DEL HUERTO DISTRIBUIDORA JONATHAN JIMENEZ CIREROL</t>
        </is>
      </c>
      <c r="J24" s="4" t="n">
        <v>1466.44</v>
      </c>
      <c r="K24" s="4" t="inlineStr">
        <is>
          <t>MXN</t>
        </is>
      </c>
      <c r="L24" s="4" t="inlineStr">
        <is>
          <t>CAFE CACHANILLA</t>
        </is>
      </c>
      <c r="M24" s="4" t="inlineStr">
        <is>
          <t>839</t>
        </is>
      </c>
      <c r="N24" s="4" t="inlineStr">
        <is>
          <t>OK - Corresponde a la OC #1 (ID: 151155) por monto exacto.</t>
        </is>
      </c>
    </row>
    <row r="25">
      <c r="A25" s="2" t="inlineStr">
        <is>
          <t>⚠️ ANOMALÍA</t>
        </is>
      </c>
      <c r="B25" s="2" t="n">
        <v>59</v>
      </c>
      <c r="C25" s="2" t="inlineStr">
        <is>
          <t>2025-11-19 20:56:09</t>
        </is>
      </c>
      <c r="D25" s="2" t="inlineStr">
        <is>
          <t>Sí</t>
        </is>
      </c>
      <c r="E25" s="2" t="n">
        <v>1</v>
      </c>
      <c r="F25" s="2" t="inlineStr">
        <is>
          <t>Sí</t>
        </is>
      </c>
      <c r="G25" s="3">
        <f>HYPERLINK("https://drive.google.com/file/d/1PH8VuE7DOh0xnNyJH7AkonEDGeVnmsme/view", "Ver PDF")</f>
        <v/>
      </c>
      <c r="H25" s="2" t="inlineStr">
        <is>
          <t>⚠️ Discrepancias</t>
        </is>
      </c>
      <c r="I25" s="2" t="inlineStr">
        <is>
          <t>DEL HUERTO DISTRIBUIDORA</t>
        </is>
      </c>
      <c r="J25" s="2" t="n">
        <v>1738</v>
      </c>
      <c r="K25" s="2" t="inlineStr">
        <is>
          <t>MXN</t>
        </is>
      </c>
      <c r="L25" s="2" t="inlineStr">
        <is>
          <t>CAFE CACHANILLA</t>
        </is>
      </c>
      <c r="M25" s="2" t="inlineStr">
        <is>
          <t>128</t>
        </is>
      </c>
      <c r="N25" s="2" t="inlineStr">
        <is>
          <t>DISCREPANCIA - El monto de la factura ($1,738.00) coincide con la OC #1, pero el proveedor es diferente (Factura: DEL HUERTO DISTRIBUIDORA, OC: JONATHAN JIMENEZ CIREROL).</t>
        </is>
      </c>
    </row>
    <row r="26">
      <c r="A26" s="2" t="inlineStr">
        <is>
          <t>⚠️ ANOMALÍA</t>
        </is>
      </c>
      <c r="B26" s="2" t="n">
        <v>60</v>
      </c>
      <c r="C26" s="2" t="inlineStr">
        <is>
          <t>2025-11-19 20:56:10</t>
        </is>
      </c>
      <c r="D26" s="2" t="inlineStr">
        <is>
          <t>No</t>
        </is>
      </c>
      <c r="E26" s="2" t="n">
        <v>0</v>
      </c>
      <c r="F26" s="2" t="inlineStr">
        <is>
          <t>Sí</t>
        </is>
      </c>
      <c r="G26" s="3">
        <f>HYPERLINK("https://drive.google.com/file/d/1WQfTdn1EYnqtD9eU9G32AOtgu5yZeYUU/view", "Ver PDF")</f>
        <v/>
      </c>
      <c r="H26" s="2" t="inlineStr">
        <is>
          <t>⚠️ Sin OC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/>
    </row>
    <row r="27">
      <c r="A27" s="2" t="inlineStr">
        <is>
          <t>⚠️ ANOMALÍA</t>
        </is>
      </c>
      <c r="B27" s="2" t="n">
        <v>61</v>
      </c>
      <c r="C27" s="2" t="inlineStr">
        <is>
          <t>2025-11-19 20:56:11</t>
        </is>
      </c>
      <c r="D27" s="2" t="inlineStr">
        <is>
          <t>No</t>
        </is>
      </c>
      <c r="E27" s="2" t="n">
        <v>0</v>
      </c>
      <c r="F27" s="2" t="inlineStr">
        <is>
          <t>Sí</t>
        </is>
      </c>
      <c r="G27" s="3">
        <f>HYPERLINK("https://drive.google.com/file/d/1iFPbyTXE5IWDcuPT2nTJs8V78vaCf1m6/view", "Ver PDF")</f>
        <v/>
      </c>
      <c r="H27" s="2" t="inlineStr">
        <is>
          <t>⚠️ Sin OC</t>
        </is>
      </c>
      <c r="I27" s="2" t="inlineStr">
        <is>
          <t>N/A</t>
        </is>
      </c>
      <c r="J27" s="2" t="inlineStr">
        <is>
          <t>N/A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N/A</t>
        </is>
      </c>
      <c r="N27" s="2" t="inlineStr"/>
    </row>
    <row r="28">
      <c r="A28" s="2" t="inlineStr">
        <is>
          <t>⚠️ ANOMALÍA</t>
        </is>
      </c>
      <c r="B28" s="2" t="n">
        <v>62</v>
      </c>
      <c r="C28" s="2" t="inlineStr">
        <is>
          <t>2025-11-19 20:56:12</t>
        </is>
      </c>
      <c r="D28" s="2" t="inlineStr">
        <is>
          <t>No</t>
        </is>
      </c>
      <c r="E28" s="2" t="n">
        <v>0</v>
      </c>
      <c r="F28" s="2" t="inlineStr">
        <is>
          <t>Sí</t>
        </is>
      </c>
      <c r="G28" s="3">
        <f>HYPERLINK("https://drive.google.com/file/d/12IwwFf46h9rT7DdA8dTjtIVSwakQ-Ygh/view", "Ver PDF")</f>
        <v/>
      </c>
      <c r="H28" s="2" t="inlineStr">
        <is>
          <t>⚠️ Sin OC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/>
    </row>
    <row r="29">
      <c r="A29" s="4" t="inlineStr">
        <is>
          <t>✅ OK</t>
        </is>
      </c>
      <c r="B29" s="4" t="n">
        <v>63</v>
      </c>
      <c r="C29" s="4" t="inlineStr">
        <is>
          <t>2025-11-19 20:56:13</t>
        </is>
      </c>
      <c r="D29" s="4" t="inlineStr">
        <is>
          <t>Sí</t>
        </is>
      </c>
      <c r="E29" s="4" t="n">
        <v>1</v>
      </c>
      <c r="F29" s="4" t="inlineStr">
        <is>
          <t>Sí</t>
        </is>
      </c>
      <c r="G29" s="5">
        <f>HYPERLINK("https://drive.google.com/file/d/1pZXmS6S9OiuQ3ooRFfQbufNkLoRLzsDX/view", "Ver PDF")</f>
        <v/>
      </c>
      <c r="H29" s="4" t="inlineStr">
        <is>
          <t>N/A</t>
        </is>
      </c>
      <c r="I29" s="4" t="inlineStr">
        <is>
          <t>DEL HUERTO DISTRIBUIDORA JONATHAN JIMENEZ CIREROL</t>
        </is>
      </c>
      <c r="J29" s="4" t="n">
        <v>2639.59</v>
      </c>
      <c r="K29" s="4" t="inlineStr">
        <is>
          <t>MXN</t>
        </is>
      </c>
      <c r="L29" s="4" t="inlineStr">
        <is>
          <t>CAFE CACHANILLA</t>
        </is>
      </c>
      <c r="M29" s="4" t="inlineStr">
        <is>
          <t>851</t>
        </is>
      </c>
      <c r="N29" s="4" t="inlineStr">
        <is>
          <t>OK - Corresponde a la OC #1 (ID: 151347) por monto exacto.</t>
        </is>
      </c>
    </row>
    <row r="30">
      <c r="A30" s="4" t="inlineStr">
        <is>
          <t>✅ OK</t>
        </is>
      </c>
      <c r="B30" s="4" t="n">
        <v>64</v>
      </c>
      <c r="C30" s="4" t="inlineStr">
        <is>
          <t>2025-11-19 20:56:14</t>
        </is>
      </c>
      <c r="D30" s="4" t="inlineStr">
        <is>
          <t>Sí</t>
        </is>
      </c>
      <c r="E30" s="4" t="n">
        <v>1</v>
      </c>
      <c r="F30" s="4" t="inlineStr">
        <is>
          <t>Sí</t>
        </is>
      </c>
      <c r="G30" s="5">
        <f>HYPERLINK("https://drive.google.com/file/d/12lINJ13JkHqzou5zCouEN6RDGutu1QPT/view", "Ver PDF")</f>
        <v/>
      </c>
      <c r="H30" s="4" t="inlineStr">
        <is>
          <t>N/A</t>
        </is>
      </c>
      <c r="I30" s="4" t="inlineStr">
        <is>
          <t>DEL HUERTO DISTRIBUIDORA JONATHAN JIMENEZ CIREROL</t>
        </is>
      </c>
      <c r="J30" s="4" t="n">
        <v>2932.87</v>
      </c>
      <c r="K30" s="4" t="inlineStr">
        <is>
          <t>MXN</t>
        </is>
      </c>
      <c r="L30" s="4" t="inlineStr">
        <is>
          <t>CAFE CACHANILLA</t>
        </is>
      </c>
      <c r="M30" s="4" t="inlineStr">
        <is>
          <t>850</t>
        </is>
      </c>
      <c r="N30" s="4" t="inlineStr">
        <is>
          <t>OK - Corresponde a la OC #1 (ID: 151346) por monto exacto.</t>
        </is>
      </c>
    </row>
    <row r="31">
      <c r="A31" s="4" t="inlineStr">
        <is>
          <t>✅ OK</t>
        </is>
      </c>
      <c r="B31" s="4" t="n">
        <v>65</v>
      </c>
      <c r="C31" s="4" t="inlineStr">
        <is>
          <t>2025-11-19 20:56:15</t>
        </is>
      </c>
      <c r="D31" s="4" t="inlineStr">
        <is>
          <t>Sí</t>
        </is>
      </c>
      <c r="E31" s="4" t="n">
        <v>1</v>
      </c>
      <c r="F31" s="4" t="inlineStr">
        <is>
          <t>Sí</t>
        </is>
      </c>
      <c r="G31" s="5">
        <f>HYPERLINK("https://drive.google.com/file/d/12UZ-CPLpAN5QwsKs21JT54gL0OJkuJ8u/view", "Ver PDF")</f>
        <v/>
      </c>
      <c r="H31" s="4" t="inlineStr">
        <is>
          <t>N/A</t>
        </is>
      </c>
      <c r="I31" s="4" t="inlineStr">
        <is>
          <t>MIGUEL ANGEL MORALES FAVELA</t>
        </is>
      </c>
      <c r="J31" s="4" t="n">
        <v>8910</v>
      </c>
      <c r="K31" s="4" t="inlineStr">
        <is>
          <t>MXN</t>
        </is>
      </c>
      <c r="L31" s="4" t="inlineStr">
        <is>
          <t>CAFE CACHANILLA</t>
        </is>
      </c>
      <c r="M31" s="4" t="inlineStr">
        <is>
          <t>B78FBF5A-1A45-46C6-8D5A-835649302DB5</t>
        </is>
      </c>
      <c r="N31" s="4" t="inlineStr">
        <is>
          <t>OK - Corresponde a la OC #1 (ID: 151066) por monto exacto.</t>
        </is>
      </c>
    </row>
    <row r="32">
      <c r="A32" s="2" t="inlineStr">
        <is>
          <t>⚠️ ANOMALÍA</t>
        </is>
      </c>
      <c r="B32" s="2" t="n">
        <v>66</v>
      </c>
      <c r="C32" s="2" t="inlineStr">
        <is>
          <t>2025-11-19 20:56:16</t>
        </is>
      </c>
      <c r="D32" s="2" t="inlineStr">
        <is>
          <t>No</t>
        </is>
      </c>
      <c r="E32" s="2" t="n">
        <v>0</v>
      </c>
      <c r="F32" s="2" t="inlineStr">
        <is>
          <t>Sí</t>
        </is>
      </c>
      <c r="G32" s="3">
        <f>HYPERLINK("https://drive.google.com/file/d/1YKOmYY_ydofAV7WXaulao5CxeohK9qWr/view", "Ver PDF")</f>
        <v/>
      </c>
      <c r="H32" s="2" t="inlineStr">
        <is>
          <t>⚠️ Sin OC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/>
    </row>
    <row r="33">
      <c r="A33" s="2" t="inlineStr">
        <is>
          <t>⚠️ ANOMALÍA</t>
        </is>
      </c>
      <c r="B33" s="2" t="n">
        <v>67</v>
      </c>
      <c r="C33" s="2" t="inlineStr">
        <is>
          <t>2025-11-19 20:56:17</t>
        </is>
      </c>
      <c r="D33" s="2" t="inlineStr">
        <is>
          <t>No</t>
        </is>
      </c>
      <c r="E33" s="2" t="n">
        <v>0</v>
      </c>
      <c r="F33" s="2" t="inlineStr">
        <is>
          <t>Sí</t>
        </is>
      </c>
      <c r="G33" s="3">
        <f>HYPERLINK("https://drive.google.com/file/d/1o-ng6Xc9_XtoGak_89AgEz8Fg_DFPUr9/view", "Ver PDF")</f>
        <v/>
      </c>
      <c r="H33" s="2" t="inlineStr">
        <is>
          <t>⚠️ Sin OC</t>
        </is>
      </c>
      <c r="I33" s="2" t="inlineStr">
        <is>
          <t>N/A</t>
        </is>
      </c>
      <c r="J33" s="2" t="inlineStr">
        <is>
          <t>N/A</t>
        </is>
      </c>
      <c r="K33" s="2" t="inlineStr">
        <is>
          <t>N/A</t>
        </is>
      </c>
      <c r="L33" s="2" t="inlineStr">
        <is>
          <t>N/A</t>
        </is>
      </c>
      <c r="M33" s="2" t="inlineStr">
        <is>
          <t>N/A</t>
        </is>
      </c>
      <c r="N33" s="2" t="inlineStr"/>
    </row>
    <row r="34">
      <c r="A34" s="4" t="inlineStr">
        <is>
          <t>✅ OK</t>
        </is>
      </c>
      <c r="B34" s="4" t="n">
        <v>68</v>
      </c>
      <c r="C34" s="4" t="inlineStr">
        <is>
          <t>2025-11-19 20:56:18</t>
        </is>
      </c>
      <c r="D34" s="4" t="inlineStr">
        <is>
          <t>Sí</t>
        </is>
      </c>
      <c r="E34" s="4" t="n">
        <v>1</v>
      </c>
      <c r="F34" s="4" t="inlineStr">
        <is>
          <t>Sí</t>
        </is>
      </c>
      <c r="G34" s="5">
        <f>HYPERLINK("https://drive.google.com/file/d/1mPvqhE7DaKfzsJx-7g0uU1m8pF9NG0mU/view", "Ver PDF")</f>
        <v/>
      </c>
      <c r="H34" s="4" t="inlineStr">
        <is>
          <t>N/A</t>
        </is>
      </c>
      <c r="I34" s="4" t="inlineStr">
        <is>
          <t>MORVIL S.A DE C.V.</t>
        </is>
      </c>
      <c r="J34" s="4" t="n">
        <v>610.53</v>
      </c>
      <c r="K34" s="4" t="inlineStr">
        <is>
          <t>MXN</t>
        </is>
      </c>
      <c r="L34" s="4" t="inlineStr">
        <is>
          <t>Cafe Cachanilla</t>
        </is>
      </c>
      <c r="M34" s="4" t="inlineStr">
        <is>
          <t>C270DA4B-595B-55CE-A7C7-09AAE48CD427</t>
        </is>
      </c>
      <c r="N34" s="4" t="inlineStr">
        <is>
          <t>OK - Corresponde a la OC #1 (ID: 150934) por monto exacto.</t>
        </is>
      </c>
    </row>
    <row r="35">
      <c r="A35" s="4" t="inlineStr">
        <is>
          <t>✅ OK</t>
        </is>
      </c>
      <c r="B35" s="4" t="n">
        <v>69</v>
      </c>
      <c r="C35" s="4" t="inlineStr">
        <is>
          <t>2025-11-19 20:56:19</t>
        </is>
      </c>
      <c r="D35" s="4" t="inlineStr">
        <is>
          <t>Sí</t>
        </is>
      </c>
      <c r="E35" s="4" t="n">
        <v>1</v>
      </c>
      <c r="F35" s="4" t="inlineStr">
        <is>
          <t>Sí</t>
        </is>
      </c>
      <c r="G35" s="5">
        <f>HYPERLINK("https://drive.google.com/file/d/1NcptaBJEhYIpT25YsCT7HzT0FrKXrqjq/view", "Ver PDF")</f>
        <v/>
      </c>
      <c r="H35" s="4" t="inlineStr">
        <is>
          <t>N/A</t>
        </is>
      </c>
      <c r="I35" s="4" t="inlineStr">
        <is>
          <t>JUAN PABLO BOJORQUEZ NORIEGA</t>
        </is>
      </c>
      <c r="J35" s="4" t="n">
        <v>1742</v>
      </c>
      <c r="K35" s="4" t="inlineStr">
        <is>
          <t>MXN</t>
        </is>
      </c>
      <c r="L35" s="4" t="inlineStr">
        <is>
          <t>BRAULIO MALDONADO LOC 85Y86 COL. CENTRO, MEXICALI, BAJA CALIFORNIA C.P. 21850, MEXICO</t>
        </is>
      </c>
      <c r="M35" s="4" t="inlineStr">
        <is>
          <t>e46afd52-3a85-4339-9fb5-21510dc6999e</t>
        </is>
      </c>
      <c r="N35" s="4" t="inlineStr">
        <is>
          <t>OK - Corresponde a la OC #1 (ID: 150786) por monto exacto.</t>
        </is>
      </c>
    </row>
    <row r="36">
      <c r="A36" s="4" t="inlineStr">
        <is>
          <t>✅ OK</t>
        </is>
      </c>
      <c r="B36" s="4" t="n">
        <v>70</v>
      </c>
      <c r="C36" s="4" t="inlineStr">
        <is>
          <t>2025-11-19 20:56:21</t>
        </is>
      </c>
      <c r="D36" s="4" t="inlineStr">
        <is>
          <t>Sí</t>
        </is>
      </c>
      <c r="E36" s="4" t="n">
        <v>1</v>
      </c>
      <c r="F36" s="4" t="inlineStr">
        <is>
          <t>Sí</t>
        </is>
      </c>
      <c r="G36" s="5">
        <f>HYPERLINK("https://drive.google.com/file/d/1ggbS0ImGP0EyxvO3SC4DxzFs3LeL3Qq1/view", "Ver PDF")</f>
        <v/>
      </c>
      <c r="H36" s="4" t="inlineStr">
        <is>
          <t>N/A</t>
        </is>
      </c>
      <c r="I36" s="4" t="inlineStr">
        <is>
          <t>JUAN PABLO BOJORQUEZ NORIEGA</t>
        </is>
      </c>
      <c r="J36" s="4" t="n">
        <v>4393.5</v>
      </c>
      <c r="K36" s="4" t="inlineStr">
        <is>
          <t>MXN</t>
        </is>
      </c>
      <c r="L36" s="4" t="inlineStr">
        <is>
          <t>CLIENTE MEXICALI, BAJA CALIFORNIA C.P. 21850 MEXICO</t>
        </is>
      </c>
      <c r="M36" s="4" t="inlineStr">
        <is>
          <t>f8c4f3d6-1d07-4183-9bcb-66057ecd57a1</t>
        </is>
      </c>
      <c r="N36" s="4" t="inlineStr">
        <is>
          <t>OK - Corresponde a la OC #1 (ID: 150631) por monto exacto.</t>
        </is>
      </c>
    </row>
    <row r="37">
      <c r="A37" s="4" t="inlineStr">
        <is>
          <t>✅ OK</t>
        </is>
      </c>
      <c r="B37" s="4" t="n">
        <v>71</v>
      </c>
      <c r="C37" s="4" t="inlineStr">
        <is>
          <t>2025-11-19 20:56:22</t>
        </is>
      </c>
      <c r="D37" s="4" t="inlineStr">
        <is>
          <t>Sí</t>
        </is>
      </c>
      <c r="E37" s="4" t="n">
        <v>1</v>
      </c>
      <c r="F37" s="4" t="inlineStr">
        <is>
          <t>Sí</t>
        </is>
      </c>
      <c r="G37" s="5">
        <f>HYPERLINK("https://drive.google.com/file/d/1SMU8YZ90_K2WkPIIwFfD8cjEBsWfQ_IX/view", "Ver PDF")</f>
        <v/>
      </c>
      <c r="H37" s="4" t="inlineStr">
        <is>
          <t>N/A</t>
        </is>
      </c>
      <c r="I37" s="4" t="inlineStr">
        <is>
          <t>JUAN PABLO BOJORQUEZ NORIEGA</t>
        </is>
      </c>
      <c r="J37" s="4" t="n">
        <v>1381.1</v>
      </c>
      <c r="K37" s="4" t="inlineStr">
        <is>
          <t>MXN</t>
        </is>
      </c>
      <c r="L37" s="4" t="inlineStr">
        <is>
          <t>BRAULIO MALDONADO LOC 85Y86 COL. CENTRO, MEXICALI, BAJA CALIFORNIA C.P. 21850, MEXICO</t>
        </is>
      </c>
      <c r="M37" s="4" t="inlineStr">
        <is>
          <t>3C3B8F5F-3797-47A8-965B-FB7FA13FDD51</t>
        </is>
      </c>
      <c r="N37" s="4" t="inlineStr">
        <is>
          <t>OK - Corresponde a la OC #1 (ID: 150561) por monto exacto.</t>
        </is>
      </c>
    </row>
    <row r="38">
      <c r="A38" s="4" t="inlineStr">
        <is>
          <t>✅ OK</t>
        </is>
      </c>
      <c r="B38" s="4" t="n">
        <v>72</v>
      </c>
      <c r="C38" s="4" t="inlineStr">
        <is>
          <t>2025-11-19 20:56:23</t>
        </is>
      </c>
      <c r="D38" s="4" t="inlineStr">
        <is>
          <t>Sí</t>
        </is>
      </c>
      <c r="E38" s="4" t="n">
        <v>1</v>
      </c>
      <c r="F38" s="4" t="inlineStr">
        <is>
          <t>Sí</t>
        </is>
      </c>
      <c r="G38" s="5">
        <f>HYPERLINK("https://drive.google.com/file/d/1w8vS0zH3ca3tUUXtnsXsJElbQAwVZrl2/view", "Ver PDF")</f>
        <v/>
      </c>
      <c r="H38" s="4" t="inlineStr">
        <is>
          <t>N/A</t>
        </is>
      </c>
      <c r="I38" s="4" t="inlineStr">
        <is>
          <t>JUAN PABLO BOJORQUEZ NORIEGA</t>
        </is>
      </c>
      <c r="J38" s="4" t="n">
        <v>4061</v>
      </c>
      <c r="K38" s="4" t="inlineStr">
        <is>
          <t>MXN</t>
        </is>
      </c>
      <c r="L38" s="4" t="inlineStr">
        <is>
          <t>CLIENTE</t>
        </is>
      </c>
      <c r="M38" s="4" t="inlineStr">
        <is>
          <t>93861c94-c3e6-4d9b-b761-c7e00df45f95</t>
        </is>
      </c>
      <c r="N38" s="4" t="inlineStr">
        <is>
          <t>OK - Corresponde a la OC #1 (ID: 150629) por monto exacto.</t>
        </is>
      </c>
    </row>
    <row r="39">
      <c r="A39" s="2" t="inlineStr">
        <is>
          <t>⚠️ ANOMALÍA</t>
        </is>
      </c>
      <c r="B39" s="2" t="n">
        <v>73</v>
      </c>
      <c r="C39" s="2" t="inlineStr">
        <is>
          <t>2025-11-19 20:56:24</t>
        </is>
      </c>
      <c r="D39" s="2" t="inlineStr">
        <is>
          <t>Sí</t>
        </is>
      </c>
      <c r="E39" s="2" t="n">
        <v>1</v>
      </c>
      <c r="F39" s="2" t="inlineStr">
        <is>
          <t>Sí</t>
        </is>
      </c>
      <c r="G39" s="3">
        <f>HYPERLINK("https://drive.google.com/file/d/1Qs465OBLyNk9nOTdnvnySitMecSLEuW5/view", "Ver PDF")</f>
        <v/>
      </c>
      <c r="H39" s="2" t="inlineStr">
        <is>
          <t>⚠️ Discrepancias</t>
        </is>
      </c>
      <c r="I39" s="2" t="inlineStr">
        <is>
          <t>PROV. DE CERTIF. PAC</t>
        </is>
      </c>
      <c r="J39" s="2" t="n">
        <v>271510.2</v>
      </c>
      <c r="K39" s="2" t="inlineStr">
        <is>
          <t>MXN</t>
        </is>
      </c>
      <c r="L39" s="2" t="inlineStr">
        <is>
          <t>CAFE CACHANILLA</t>
        </is>
      </c>
      <c r="M39" s="2" t="inlineStr">
        <is>
          <t>151AAD8C-4B44-482E-97E5-DBB0A34637F9</t>
        </is>
      </c>
      <c r="N39" s="2" t="inlineStr">
        <is>
          <t>DISCREPANCIA - El monto de la factura ($271,510.20) no coincide con ninguna OC individual, ya que la única OC disponible es de un proveedor diferente (FRANCISCO AGUILAR HERNANDEZ).</t>
        </is>
      </c>
    </row>
    <row r="40">
      <c r="A40" s="2" t="inlineStr">
        <is>
          <t>⚠️ ANOMALÍA</t>
        </is>
      </c>
      <c r="B40" s="2" t="n">
        <v>74</v>
      </c>
      <c r="C40" s="2" t="inlineStr">
        <is>
          <t>2025-11-19 20:56:25</t>
        </is>
      </c>
      <c r="D40" s="2" t="inlineStr">
        <is>
          <t>No</t>
        </is>
      </c>
      <c r="E40" s="2" t="n">
        <v>0</v>
      </c>
      <c r="F40" s="2" t="inlineStr">
        <is>
          <t>Sí</t>
        </is>
      </c>
      <c r="G40" s="3">
        <f>HYPERLINK("https://drive.google.com/file/d/1JxNEvetzTT6dZbw0K9e71W5FYDZ4paOc/view", "Ver PDF")</f>
        <v/>
      </c>
      <c r="H40" s="2" t="inlineStr">
        <is>
          <t>⚠️ Sin OC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/>
    </row>
    <row r="41">
      <c r="A41" s="2" t="inlineStr">
        <is>
          <t>⚠️ ANOMALÍA</t>
        </is>
      </c>
      <c r="B41" s="2" t="n">
        <v>75</v>
      </c>
      <c r="C41" s="2" t="inlineStr">
        <is>
          <t>2025-11-19 20:56:26</t>
        </is>
      </c>
      <c r="D41" s="2" t="inlineStr">
        <is>
          <t>No</t>
        </is>
      </c>
      <c r="E41" s="2" t="n">
        <v>0</v>
      </c>
      <c r="F41" s="2" t="inlineStr">
        <is>
          <t>Sí</t>
        </is>
      </c>
      <c r="G41" s="3">
        <f>HYPERLINK("https://drive.google.com/file/d/1CTcdxZ2l-UN18dqZhWOIxiYOEN05yEHI/view", "Ver PDF")</f>
        <v/>
      </c>
      <c r="H41" s="2" t="inlineStr">
        <is>
          <t>⚠️ Sin OC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>
        <is>
          <t>N/A</t>
        </is>
      </c>
      <c r="N41" s="2" t="inlineStr"/>
    </row>
    <row r="42">
      <c r="A42" s="4" t="inlineStr">
        <is>
          <t>✅ OK</t>
        </is>
      </c>
      <c r="B42" s="4" t="n">
        <v>76</v>
      </c>
      <c r="C42" s="4" t="inlineStr">
        <is>
          <t>2025-11-19 20:56:28</t>
        </is>
      </c>
      <c r="D42" s="4" t="inlineStr">
        <is>
          <t>Sí</t>
        </is>
      </c>
      <c r="E42" s="4" t="n">
        <v>1</v>
      </c>
      <c r="F42" s="4" t="inlineStr">
        <is>
          <t>Sí</t>
        </is>
      </c>
      <c r="G42" s="5">
        <f>HYPERLINK("https://drive.google.com/file/d/1JQATNIa5aSGwvVFUI9Y8K89fBU518T65/view", "Ver PDF")</f>
        <v/>
      </c>
      <c r="H42" s="4" t="inlineStr">
        <is>
          <t>N/A</t>
        </is>
      </c>
      <c r="I42" s="4" t="inlineStr">
        <is>
          <t>JUAN PABLO BOJORQUEZ NORIEGA</t>
        </is>
      </c>
      <c r="J42" s="4" t="n">
        <v>2165</v>
      </c>
      <c r="K42" s="4" t="inlineStr">
        <is>
          <t>MXN</t>
        </is>
      </c>
      <c r="L42" s="4" t="inlineStr">
        <is>
          <t>BRAULIO MALDONADO LOCAL 85 Y 86 S/N L 85Y 86 COL. CENTRO, MEXICALI, BAJA CALIFORNIA C.P. 21850</t>
        </is>
      </c>
      <c r="M42" s="4" t="inlineStr">
        <is>
          <t>cfd7e47b-f083-4bc8-841a-e2a73a3553f7</t>
        </is>
      </c>
      <c r="N42" s="4" t="inlineStr">
        <is>
          <t>OK - Corresponde a la OC #1 (ID: 150687) por monto exacto.</t>
        </is>
      </c>
    </row>
    <row r="43">
      <c r="A43" s="4" t="inlineStr">
        <is>
          <t>✅ OK</t>
        </is>
      </c>
      <c r="B43" s="4" t="n">
        <v>77</v>
      </c>
      <c r="C43" s="4" t="inlineStr">
        <is>
          <t>2025-11-19 20:56:29</t>
        </is>
      </c>
      <c r="D43" s="4" t="inlineStr">
        <is>
          <t>Sí</t>
        </is>
      </c>
      <c r="E43" s="4" t="n">
        <v>1</v>
      </c>
      <c r="F43" s="4" t="inlineStr">
        <is>
          <t>Sí</t>
        </is>
      </c>
      <c r="G43" s="5">
        <f>HYPERLINK("https://drive.google.com/file/d/1QLhAHFvQZrw6TiFTg_2n_BxGiNXWVVon/view", "Ver PDF")</f>
        <v/>
      </c>
      <c r="H43" s="4" t="inlineStr">
        <is>
          <t>N/A</t>
        </is>
      </c>
      <c r="I43" s="4" t="inlineStr">
        <is>
          <t>JUAN PABLO BOJORQUEZ NORIEGA</t>
        </is>
      </c>
      <c r="J43" s="4" t="n">
        <v>7559.5</v>
      </c>
      <c r="K43" s="4" t="inlineStr">
        <is>
          <t>MXN</t>
        </is>
      </c>
      <c r="L43" s="4" t="inlineStr">
        <is>
          <t>BRAULIO MALDONADO LOCAL 85 Y 86 COL. CENTRO, MEXICALI, BAJA CALIFORNIA C.P. 21850, MEXICO</t>
        </is>
      </c>
      <c r="M43" s="4" t="inlineStr">
        <is>
          <t>4beb97df-f295-4c3b-b391-16c18c0154c1</t>
        </is>
      </c>
      <c r="N43" s="4" t="inlineStr">
        <is>
          <t>OK - Corresponde a la OC #1 (ID: 150853) por monto exacto.</t>
        </is>
      </c>
    </row>
    <row r="44">
      <c r="A44" s="4" t="inlineStr">
        <is>
          <t>✅ OK</t>
        </is>
      </c>
      <c r="B44" s="4" t="n">
        <v>78</v>
      </c>
      <c r="C44" s="4" t="inlineStr">
        <is>
          <t>2025-11-19 20:56:30</t>
        </is>
      </c>
      <c r="D44" s="4" t="inlineStr">
        <is>
          <t>Sí</t>
        </is>
      </c>
      <c r="E44" s="4" t="n">
        <v>1</v>
      </c>
      <c r="F44" s="4" t="inlineStr">
        <is>
          <t>Sí</t>
        </is>
      </c>
      <c r="G44" s="5">
        <f>HYPERLINK("https://drive.google.com/file/d/1SNA2FdrZ_TF181eOARZbkYY2pIoZWi7w/view", "Ver PDF")</f>
        <v/>
      </c>
      <c r="H44" s="4" t="inlineStr">
        <is>
          <t>N/A</t>
        </is>
      </c>
      <c r="I44" s="4" t="inlineStr">
        <is>
          <t>JUAN PABLO BOJORQUEZ NORIEGA</t>
        </is>
      </c>
      <c r="J44" s="4" t="n">
        <v>2707.5</v>
      </c>
      <c r="K44" s="4" t="inlineStr">
        <is>
          <t>MXN</t>
        </is>
      </c>
      <c r="L44" s="4" t="inlineStr">
        <is>
          <t>BRAULIO MALDONADO LOC 85Y86 COL. CENTRO MEXICALI, BAJA CALIFORNIA C.P. 21850 MEXICO</t>
        </is>
      </c>
      <c r="M44" s="4" t="inlineStr">
        <is>
          <t>ef1676bb-e36f-4eef-93af-219cf7f2cba5</t>
        </is>
      </c>
      <c r="N44" s="4" t="inlineStr">
        <is>
          <t>OK - Corresponde a la OC #1 (ID: 150848) por monto exacto.</t>
        </is>
      </c>
    </row>
    <row r="45">
      <c r="A45" s="4" t="inlineStr">
        <is>
          <t>✅ OK</t>
        </is>
      </c>
      <c r="B45" s="4" t="n">
        <v>79</v>
      </c>
      <c r="C45" s="4" t="inlineStr">
        <is>
          <t>2025-11-19 20:56:32</t>
        </is>
      </c>
      <c r="D45" s="4" t="inlineStr">
        <is>
          <t>Sí</t>
        </is>
      </c>
      <c r="E45" s="4" t="n">
        <v>1</v>
      </c>
      <c r="F45" s="4" t="inlineStr">
        <is>
          <t>Sí</t>
        </is>
      </c>
      <c r="G45" s="5">
        <f>HYPERLINK("https://drive.google.com/file/d/1AIqNobrl68DJu28xflFE0KQI6XJjGSed/view", "Ver PDF")</f>
        <v/>
      </c>
      <c r="H45" s="4" t="inlineStr">
        <is>
          <t>N/A</t>
        </is>
      </c>
      <c r="I45" s="4" t="inlineStr">
        <is>
          <t>JUAN PABLO BOJORQUEZ NORIEGA</t>
        </is>
      </c>
      <c r="J45" s="4" t="n">
        <v>2676.5</v>
      </c>
      <c r="K45" s="4" t="inlineStr">
        <is>
          <t>MXN</t>
        </is>
      </c>
      <c r="L45" s="4" t="inlineStr">
        <is>
          <t>BRAULIO MALDONADO LOC 85Y86 COL. CENTRO</t>
        </is>
      </c>
      <c r="M45" s="4" t="inlineStr">
        <is>
          <t>80ea9d09-c217-4982-9944-001ab4661810</t>
        </is>
      </c>
      <c r="N45" s="4" t="inlineStr">
        <is>
          <t>OK - Corresponde a la OC #1 (ID: 150850) por monto exacto.</t>
        </is>
      </c>
    </row>
    <row r="46">
      <c r="A46" s="4" t="inlineStr">
        <is>
          <t>✅ OK</t>
        </is>
      </c>
      <c r="B46" s="4" t="n">
        <v>80</v>
      </c>
      <c r="C46" s="4" t="inlineStr">
        <is>
          <t>2025-11-19 20:56:33</t>
        </is>
      </c>
      <c r="D46" s="4" t="inlineStr">
        <is>
          <t>Sí</t>
        </is>
      </c>
      <c r="E46" s="4" t="n">
        <v>1</v>
      </c>
      <c r="F46" s="4" t="inlineStr">
        <is>
          <t>Sí</t>
        </is>
      </c>
      <c r="G46" s="5">
        <f>HYPERLINK("https://drive.google.com/file/d/1jLC5x3BTKJw0dic4YHhY-6SR9mCSGH25/view", "Ver PDF")</f>
        <v/>
      </c>
      <c r="H46" s="4" t="inlineStr">
        <is>
          <t>N/A</t>
        </is>
      </c>
      <c r="I46" s="4" t="inlineStr">
        <is>
          <t>DEL HUERTO DISTRIBUIDORA JONATHAN JIMENEZ CIREROL</t>
        </is>
      </c>
      <c r="J46" s="4" t="n">
        <v>2932.87</v>
      </c>
      <c r="K46" s="4" t="inlineStr">
        <is>
          <t>MXN</t>
        </is>
      </c>
      <c r="L46" s="4" t="inlineStr">
        <is>
          <t>CAFE CACHANILLA</t>
        </is>
      </c>
      <c r="M46" s="4" t="inlineStr">
        <is>
          <t>840</t>
        </is>
      </c>
      <c r="N46" s="4" t="inlineStr">
        <is>
          <t>OK - Corresponde a la OC #1 (ID: 151244) por monto exacto.</t>
        </is>
      </c>
    </row>
    <row r="47">
      <c r="A47" s="4" t="inlineStr">
        <is>
          <t>✅ OK</t>
        </is>
      </c>
      <c r="B47" s="4" t="n">
        <v>81</v>
      </c>
      <c r="C47" s="4" t="inlineStr">
        <is>
          <t>2025-11-19 20:56:34</t>
        </is>
      </c>
      <c r="D47" s="4" t="inlineStr">
        <is>
          <t>Sí</t>
        </is>
      </c>
      <c r="E47" s="4" t="n">
        <v>1</v>
      </c>
      <c r="F47" s="4" t="inlineStr">
        <is>
          <t>Sí</t>
        </is>
      </c>
      <c r="G47" s="5">
        <f>HYPERLINK("https://drive.google.com/file/d/1NEkcVxCddo8uk7ngzvsuuuNH-eHeCvVZ/view", "Ver PDF")</f>
        <v/>
      </c>
      <c r="H47" s="4" t="inlineStr">
        <is>
          <t>N/A</t>
        </is>
      </c>
      <c r="I47" s="4" t="inlineStr">
        <is>
          <t>ACSECOM</t>
        </is>
      </c>
      <c r="J47" s="4" t="n">
        <v>591.84</v>
      </c>
      <c r="K47" s="4" t="inlineStr">
        <is>
          <t>MXN</t>
        </is>
      </c>
      <c r="L47" s="4" t="inlineStr">
        <is>
          <t>CAFE CACHANILLA</t>
        </is>
      </c>
      <c r="M47" s="4" t="inlineStr">
        <is>
          <t>C8DBEF2F-C5C2-46E5-BB19-A981DD9C27DE</t>
        </is>
      </c>
      <c r="N47" s="4" t="inlineStr">
        <is>
          <t>OK - Corresponde a la OC #1 (ID: 150818) por monto exacto.</t>
        </is>
      </c>
    </row>
    <row r="48">
      <c r="A48" s="4" t="inlineStr">
        <is>
          <t>✅ OK</t>
        </is>
      </c>
      <c r="B48" s="4" t="n">
        <v>82</v>
      </c>
      <c r="C48" s="4" t="inlineStr">
        <is>
          <t>2025-11-19 20:56:35</t>
        </is>
      </c>
      <c r="D48" s="4" t="inlineStr">
        <is>
          <t>Sí</t>
        </is>
      </c>
      <c r="E48" s="4" t="n">
        <v>1</v>
      </c>
      <c r="F48" s="4" t="inlineStr">
        <is>
          <t>Sí</t>
        </is>
      </c>
      <c r="G48" s="5">
        <f>HYPERLINK("https://drive.google.com/file/d/1CxTTavayxo4Lf4zqBDYi4Rb9W4eqkJTa/view", "Ver PDF")</f>
        <v/>
      </c>
      <c r="H48" s="4" t="inlineStr">
        <is>
          <t>N/A</t>
        </is>
      </c>
      <c r="I48" s="4" t="inlineStr">
        <is>
          <t>JUAN PABLO BOJORQUEZ NORIEGA</t>
        </is>
      </c>
      <c r="J48" s="4" t="n">
        <v>6547</v>
      </c>
      <c r="K48" s="4" t="inlineStr">
        <is>
          <t>MXN</t>
        </is>
      </c>
      <c r="L48" s="4" t="inlineStr">
        <is>
          <t>BRAULIO MALDONADO LOCAL 85 Y 86 S/N L 85Y 86 COL. CENTRO MEXICALI, BAJA CALIFORNIA C.P. 21850</t>
        </is>
      </c>
      <c r="M48" s="4" t="inlineStr">
        <is>
          <t>fd7257dc-3b2d-4913-b53c-0cb88322871f</t>
        </is>
      </c>
      <c r="N48" s="4" t="inlineStr">
        <is>
          <t>OK - Corresponde a la OC #1 (ID: 150719) por monto exacto.</t>
        </is>
      </c>
    </row>
    <row r="49">
      <c r="A49" s="4" t="inlineStr">
        <is>
          <t>✅ OK</t>
        </is>
      </c>
      <c r="B49" s="4" t="n">
        <v>83</v>
      </c>
      <c r="C49" s="4" t="inlineStr">
        <is>
          <t>2025-11-19 20:56:36</t>
        </is>
      </c>
      <c r="D49" s="4" t="inlineStr">
        <is>
          <t>Sí</t>
        </is>
      </c>
      <c r="E49" s="4" t="n">
        <v>1</v>
      </c>
      <c r="F49" s="4" t="inlineStr">
        <is>
          <t>Sí</t>
        </is>
      </c>
      <c r="G49" s="5">
        <f>HYPERLINK("https://drive.google.com/file/d/1t30Mndtkz3jWWXCn54y28__ERFL4PZWb/view", "Ver PDF")</f>
        <v/>
      </c>
      <c r="H49" s="4" t="inlineStr">
        <is>
          <t>N/A</t>
        </is>
      </c>
      <c r="I49" s="4" t="inlineStr">
        <is>
          <t>DEL HUERTO DISTRIBUIDORA JONATHAN JIMENEZ CIREROL</t>
        </is>
      </c>
      <c r="J49" s="4" t="n">
        <v>1466.44</v>
      </c>
      <c r="K49" s="4" t="inlineStr">
        <is>
          <t>MXN</t>
        </is>
      </c>
      <c r="L49" s="4" t="inlineStr">
        <is>
          <t>CAFE CACHANILLA</t>
        </is>
      </c>
      <c r="M49" s="4" t="inlineStr">
        <is>
          <t>835</t>
        </is>
      </c>
      <c r="N49" s="4" t="inlineStr">
        <is>
          <t>OK - Corresponde a la OC #1 (ID: 151072) por monto exacto.</t>
        </is>
      </c>
    </row>
    <row r="50">
      <c r="A50" s="4" t="inlineStr">
        <is>
          <t>✅ OK</t>
        </is>
      </c>
      <c r="B50" s="4" t="n">
        <v>84</v>
      </c>
      <c r="C50" s="4" t="inlineStr">
        <is>
          <t>2025-11-19 20:56:37</t>
        </is>
      </c>
      <c r="D50" s="4" t="inlineStr">
        <is>
          <t>Sí</t>
        </is>
      </c>
      <c r="E50" s="4" t="n">
        <v>1</v>
      </c>
      <c r="F50" s="4" t="inlineStr">
        <is>
          <t>Sí</t>
        </is>
      </c>
      <c r="G50" s="5">
        <f>HYPERLINK("https://drive.google.com/file/d/1zNC0ImReM8jH7G6bnD7PAgzeuAmtQZhK/view", "Ver PDF")</f>
        <v/>
      </c>
      <c r="H50" s="4" t="inlineStr">
        <is>
          <t>N/A</t>
        </is>
      </c>
      <c r="I50" s="4" t="inlineStr">
        <is>
          <t>DEL HUERTO DISTRIBUIDORA JONATHAN JIMENEZ CIREROL</t>
        </is>
      </c>
      <c r="J50" s="4" t="n">
        <v>1466.44</v>
      </c>
      <c r="K50" s="4" t="inlineStr">
        <is>
          <t>MXN</t>
        </is>
      </c>
      <c r="L50" s="4" t="inlineStr">
        <is>
          <t>CAFE CACHANILLA</t>
        </is>
      </c>
      <c r="M50" s="4" t="inlineStr">
        <is>
          <t>837</t>
        </is>
      </c>
      <c r="N50" s="4" t="inlineStr">
        <is>
          <t>OK - Corresponde a la OC #1 (ID: 151154) por monto exacto.</t>
        </is>
      </c>
    </row>
    <row r="51">
      <c r="A51" s="2" t="inlineStr">
        <is>
          <t>⚠️ ANOMALÍA</t>
        </is>
      </c>
      <c r="B51" s="2" t="n">
        <v>85</v>
      </c>
      <c r="C51" s="2" t="inlineStr">
        <is>
          <t>2025-11-19 20:56:38</t>
        </is>
      </c>
      <c r="D51" s="2" t="inlineStr">
        <is>
          <t>No</t>
        </is>
      </c>
      <c r="E51" s="2" t="n">
        <v>0</v>
      </c>
      <c r="F51" s="2" t="inlineStr">
        <is>
          <t>Sí</t>
        </is>
      </c>
      <c r="G51" s="3">
        <f>HYPERLINK("https://drive.google.com/file/d/1LbM_us2PMQZOryLMGSfa995pSmUAU3NP/view", "Ver PDF")</f>
        <v/>
      </c>
      <c r="H51" s="2" t="inlineStr">
        <is>
          <t>⚠️ Sin OC</t>
        </is>
      </c>
      <c r="I51" s="2" t="inlineStr">
        <is>
          <t>N/A</t>
        </is>
      </c>
      <c r="J51" s="2" t="inlineStr">
        <is>
          <t>N/A</t>
        </is>
      </c>
      <c r="K51" s="2" t="inlineStr">
        <is>
          <t>N/A</t>
        </is>
      </c>
      <c r="L51" s="2" t="inlineStr">
        <is>
          <t>N/A</t>
        </is>
      </c>
      <c r="M51" s="2" t="inlineStr">
        <is>
          <t>N/A</t>
        </is>
      </c>
      <c r="N51" s="2" t="inlineStr"/>
    </row>
    <row r="52">
      <c r="A52" s="2" t="inlineStr">
        <is>
          <t>⚠️ ANOMALÍA</t>
        </is>
      </c>
      <c r="B52" s="2" t="n">
        <v>86</v>
      </c>
      <c r="C52" s="2" t="inlineStr">
        <is>
          <t>2025-11-19 20:56:38</t>
        </is>
      </c>
      <c r="D52" s="2" t="inlineStr">
        <is>
          <t>No</t>
        </is>
      </c>
      <c r="E52" s="2" t="n">
        <v>0</v>
      </c>
      <c r="F52" s="2" t="inlineStr">
        <is>
          <t>Sí</t>
        </is>
      </c>
      <c r="G52" s="3">
        <f>HYPERLINK("https://drive.google.com/file/d/1d9u_fvRm07PmRNvYDyCGOPUpzJMOfz01/view", "Ver PDF")</f>
        <v/>
      </c>
      <c r="H52" s="2" t="inlineStr">
        <is>
          <t>⚠️ Sin OC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/>
    </row>
    <row r="53">
      <c r="A53" s="4" t="inlineStr">
        <is>
          <t>✅ OK</t>
        </is>
      </c>
      <c r="B53" s="4" t="n">
        <v>87</v>
      </c>
      <c r="C53" s="4" t="inlineStr">
        <is>
          <t>2025-11-19 20:56:40</t>
        </is>
      </c>
      <c r="D53" s="4" t="inlineStr">
        <is>
          <t>Sí</t>
        </is>
      </c>
      <c r="E53" s="4" t="n">
        <v>1</v>
      </c>
      <c r="F53" s="4" t="inlineStr">
        <is>
          <t>Sí</t>
        </is>
      </c>
      <c r="G53" s="5">
        <f>HYPERLINK("https://drive.google.com/file/d/1yVwwKlXvCZkBIMKZ60YEzYIaRwe0TEiP/view", "Ver PDF")</f>
        <v/>
      </c>
      <c r="H53" s="4" t="inlineStr">
        <is>
          <t>N/A</t>
        </is>
      </c>
      <c r="I53" s="4" t="inlineStr">
        <is>
          <t>JUAN PABLO BOJORQUEZ NORIEGA</t>
        </is>
      </c>
      <c r="J53" s="4" t="n">
        <v>5735</v>
      </c>
      <c r="K53" s="4" t="inlineStr">
        <is>
          <t>MXN</t>
        </is>
      </c>
      <c r="L53" s="4" t="inlineStr">
        <is>
          <t>MEXICALI, BAJA CALIFORNIA C.P. 21850 MEXICO</t>
        </is>
      </c>
      <c r="M53" s="4" t="inlineStr">
        <is>
          <t>e04c39b0-7218-4df0-b504-81a375f8c0b1</t>
        </is>
      </c>
      <c r="N53" s="4" t="inlineStr">
        <is>
          <t>OK - Corresponde a la OC #1 (ID: 150718) por monto exacto.</t>
        </is>
      </c>
    </row>
    <row r="54">
      <c r="A54" s="4" t="inlineStr">
        <is>
          <t>✅ OK</t>
        </is>
      </c>
      <c r="B54" s="4" t="n">
        <v>88</v>
      </c>
      <c r="C54" s="4" t="inlineStr">
        <is>
          <t>2025-11-19 20:56:41</t>
        </is>
      </c>
      <c r="D54" s="4" t="inlineStr">
        <is>
          <t>Sí</t>
        </is>
      </c>
      <c r="E54" s="4" t="n">
        <v>1</v>
      </c>
      <c r="F54" s="4" t="inlineStr">
        <is>
          <t>Sí</t>
        </is>
      </c>
      <c r="G54" s="5">
        <f>HYPERLINK("https://drive.google.com/file/d/1RzCNwijTzOuiqS4pTYrNqm_WvzMYjJxU/view", "Ver PDF")</f>
        <v/>
      </c>
      <c r="H54" s="4" t="inlineStr">
        <is>
          <t>N/A</t>
        </is>
      </c>
      <c r="I54" s="4" t="inlineStr">
        <is>
          <t>JUAN PABLO BOJORQUEZ NORIEGA</t>
        </is>
      </c>
      <c r="J54" s="4" t="n">
        <v>2422</v>
      </c>
      <c r="K54" s="4" t="inlineStr">
        <is>
          <t>MXN</t>
        </is>
      </c>
      <c r="L54" s="4" t="inlineStr">
        <is>
          <t>MEXICALI, BAJA CALIFORNIA C.P. 21850 MEXICO</t>
        </is>
      </c>
      <c r="M54" s="4" t="inlineStr">
        <is>
          <t>3b9cd781-5872-41be-bc5f-0e80b708f9b6</t>
        </is>
      </c>
      <c r="N54" s="4" t="inlineStr">
        <is>
          <t>OK - Corresponde a la OC #1 (ID: 150851) por monto exacto.</t>
        </is>
      </c>
    </row>
    <row r="55">
      <c r="A55" s="4" t="inlineStr">
        <is>
          <t>✅ OK</t>
        </is>
      </c>
      <c r="B55" s="4" t="n">
        <v>89</v>
      </c>
      <c r="C55" s="4" t="inlineStr">
        <is>
          <t>2025-11-19 20:56:43</t>
        </is>
      </c>
      <c r="D55" s="4" t="inlineStr">
        <is>
          <t>Sí</t>
        </is>
      </c>
      <c r="E55" s="4" t="n">
        <v>1</v>
      </c>
      <c r="F55" s="4" t="inlineStr">
        <is>
          <t>Sí</t>
        </is>
      </c>
      <c r="G55" s="5">
        <f>HYPERLINK("https://drive.google.com/file/d/1WbBr9q4VjPYbjLk2hqn9wzNCVpjxNU4V/view", "Ver PDF")</f>
        <v/>
      </c>
      <c r="H55" s="4" t="inlineStr">
        <is>
          <t>N/A</t>
        </is>
      </c>
      <c r="I55" s="4" t="inlineStr">
        <is>
          <t>JUAN PABLO BOJORQUEZ NORIEGA</t>
        </is>
      </c>
      <c r="J55" s="4" t="n">
        <v>4801.5</v>
      </c>
      <c r="K55" s="4" t="inlineStr">
        <is>
          <t>MXN</t>
        </is>
      </c>
      <c r="L55" s="4" t="inlineStr">
        <is>
          <t>MEXICALI, BAJA CALIFORNIA C.P. 21850 MEXICO</t>
        </is>
      </c>
      <c r="M55" s="4" t="inlineStr">
        <is>
          <t>8e421f4c-247c-4bc4-a9c6-14fa5a75a7a3</t>
        </is>
      </c>
      <c r="N55" s="4" t="inlineStr">
        <is>
          <t>OK - Corresponde a la OC #1 (ID: 150635) por monto exacto.</t>
        </is>
      </c>
    </row>
    <row r="56">
      <c r="A56" s="4" t="inlineStr">
        <is>
          <t>✅ OK</t>
        </is>
      </c>
      <c r="B56" s="4" t="n">
        <v>90</v>
      </c>
      <c r="C56" s="4" t="inlineStr">
        <is>
          <t>2025-11-19 20:56:44</t>
        </is>
      </c>
      <c r="D56" s="4" t="inlineStr">
        <is>
          <t>Sí</t>
        </is>
      </c>
      <c r="E56" s="4" t="n">
        <v>1</v>
      </c>
      <c r="F56" s="4" t="inlineStr">
        <is>
          <t>Sí</t>
        </is>
      </c>
      <c r="G56" s="5">
        <f>HYPERLINK("https://drive.google.com/file/d/1TAli4_GALk3wA2lG2m4cF0T-oZTQlISi/view", "Ver PDF")</f>
        <v/>
      </c>
      <c r="H56" s="4" t="inlineStr">
        <is>
          <t>N/A</t>
        </is>
      </c>
      <c r="I56" s="4" t="inlineStr">
        <is>
          <t>DEL HUERTO DISTRIBUIDORA JONATHAN JIMENEZ CIREROL</t>
        </is>
      </c>
      <c r="J56" s="4" t="n">
        <v>3170.57</v>
      </c>
      <c r="K56" s="4" t="inlineStr">
        <is>
          <t>MXN</t>
        </is>
      </c>
      <c r="L56" s="4" t="inlineStr">
        <is>
          <t>CAFE CACHANILLA</t>
        </is>
      </c>
      <c r="M56" s="4" t="inlineStr">
        <is>
          <t>838</t>
        </is>
      </c>
      <c r="N56" s="4" t="inlineStr">
        <is>
          <t>OK - Corresponde a la OC #1 (ID: 151119) por monto exacto.</t>
        </is>
      </c>
    </row>
    <row r="57">
      <c r="A57" s="4" t="inlineStr">
        <is>
          <t>✅ OK</t>
        </is>
      </c>
      <c r="B57" s="4" t="n">
        <v>91</v>
      </c>
      <c r="C57" s="4" t="inlineStr">
        <is>
          <t>2025-11-19 20:56:44</t>
        </is>
      </c>
      <c r="D57" s="4" t="inlineStr">
        <is>
          <t>Sí</t>
        </is>
      </c>
      <c r="E57" s="4" t="n">
        <v>1</v>
      </c>
      <c r="F57" s="4" t="inlineStr">
        <is>
          <t>Sí</t>
        </is>
      </c>
      <c r="G57" s="5">
        <f>HYPERLINK("https://drive.google.com/file/d/1duiRek6ZJ6JaTV9DWEebUSSAo5oSB7fJ/view", "Ver PDF")</f>
        <v/>
      </c>
      <c r="H57" s="4" t="inlineStr">
        <is>
          <t>N/A</t>
        </is>
      </c>
      <c r="I57" s="4" t="inlineStr">
        <is>
          <t>MORVIL S.A de C.V.</t>
        </is>
      </c>
      <c r="J57" s="4" t="n">
        <v>595.51</v>
      </c>
      <c r="K57" s="4" t="inlineStr">
        <is>
          <t>MXN</t>
        </is>
      </c>
      <c r="L57" s="4" t="inlineStr">
        <is>
          <t>Cafe Cachanilla</t>
        </is>
      </c>
      <c r="M57" s="4" t="inlineStr">
        <is>
          <t>7549FFB9-3773-5966-876B-21F9D4A74A99</t>
        </is>
      </c>
      <c r="N57" s="4" t="inlineStr">
        <is>
          <t>OK - Corresponde a la OC #1 (ID: 150740) por monto exacto.</t>
        </is>
      </c>
    </row>
    <row r="58">
      <c r="A58" s="2" t="inlineStr">
        <is>
          <t>⚠️ ANOMALÍA</t>
        </is>
      </c>
      <c r="B58" s="2" t="n">
        <v>92</v>
      </c>
      <c r="C58" s="2" t="inlineStr">
        <is>
          <t>2025-11-19 20:56:45</t>
        </is>
      </c>
      <c r="D58" s="2" t="inlineStr">
        <is>
          <t>Sí</t>
        </is>
      </c>
      <c r="E58" s="2" t="n">
        <v>1</v>
      </c>
      <c r="F58" s="2" t="inlineStr">
        <is>
          <t>Sí</t>
        </is>
      </c>
      <c r="G58" s="3">
        <f>HYPERLINK("https://drive.google.com/file/d/1zUopEMY4T3C6BgJJL_2fagqj9EVCkXwJ/view", "Ver PDF")</f>
        <v/>
      </c>
      <c r="H58" s="2" t="inlineStr">
        <is>
          <t>⚠️ Discrepancias</t>
        </is>
      </c>
      <c r="I58" s="2" t="inlineStr">
        <is>
          <t>DotNet Desarrollo de Sistemas S.A. de C.V.</t>
        </is>
      </c>
      <c r="J58" s="2" t="n">
        <v>4230.31</v>
      </c>
      <c r="K58" s="2" t="inlineStr">
        <is>
          <t>MXN</t>
        </is>
      </c>
      <c r="L58" s="2" t="inlineStr">
        <is>
          <t>CAFE CACHANILLA</t>
        </is>
      </c>
      <c r="M58" s="2" t="inlineStr">
        <is>
          <t>B18BC4D5-31C7-4A77-98BA-FD98E43B2D7A</t>
        </is>
      </c>
      <c r="N58" s="2" t="inlineStr">
        <is>
          <t>DISCREPANCIA - El monto de la factura ($4,230.31) coincide con la OC #1, pero el proveedor es diferente (Factura: DotNet Desarrollo de Sistemas S.A. de C.V. vs OC: ANA GABRIELA EGUIA GARCIA).</t>
        </is>
      </c>
    </row>
    <row r="59">
      <c r="A59" s="4" t="inlineStr">
        <is>
          <t>✅ OK</t>
        </is>
      </c>
      <c r="B59" s="4" t="n">
        <v>93</v>
      </c>
      <c r="C59" s="4" t="inlineStr">
        <is>
          <t>2025-11-19 20:56:46</t>
        </is>
      </c>
      <c r="D59" s="4" t="inlineStr">
        <is>
          <t>Sí</t>
        </is>
      </c>
      <c r="E59" s="4" t="n">
        <v>1</v>
      </c>
      <c r="F59" s="4" t="inlineStr">
        <is>
          <t>Sí</t>
        </is>
      </c>
      <c r="G59" s="5">
        <f>HYPERLINK("https://drive.google.com/file/d/1UoAsQrxRji6kR6bVwbXrdyKXRQaOzkLX/view", "Ver PDF")</f>
        <v/>
      </c>
      <c r="H59" s="4" t="inlineStr">
        <is>
          <t>N/A</t>
        </is>
      </c>
      <c r="I59" s="4" t="inlineStr">
        <is>
          <t>DEL HUERTO DISTRIBUIDORA JONATHAN JIMENEZ CIREROL</t>
        </is>
      </c>
      <c r="J59" s="4" t="n">
        <v>2932.87</v>
      </c>
      <c r="K59" s="4" t="inlineStr">
        <is>
          <t>MXN</t>
        </is>
      </c>
      <c r="L59" s="4" t="inlineStr">
        <is>
          <t>CAFE CACHANILLA</t>
        </is>
      </c>
      <c r="M59" s="4" t="inlineStr">
        <is>
          <t>834</t>
        </is>
      </c>
      <c r="N59" s="4" t="inlineStr">
        <is>
          <t>OK - Corresponde a la OC #1 (ID: 151071) por monto exacto.</t>
        </is>
      </c>
    </row>
    <row r="60">
      <c r="A60" s="4" t="inlineStr">
        <is>
          <t>✅ OK</t>
        </is>
      </c>
      <c r="B60" s="4" t="n">
        <v>94</v>
      </c>
      <c r="C60" s="4" t="inlineStr">
        <is>
          <t>2025-11-19 20:56:47</t>
        </is>
      </c>
      <c r="D60" s="4" t="inlineStr">
        <is>
          <t>Sí</t>
        </is>
      </c>
      <c r="E60" s="4" t="n">
        <v>1</v>
      </c>
      <c r="F60" s="4" t="inlineStr">
        <is>
          <t>Sí</t>
        </is>
      </c>
      <c r="G60" s="5">
        <f>HYPERLINK("https://drive.google.com/file/d/1OBRyVOO66Mbo2E4ITrHWOGSdHNxbNjTR/view", "Ver PDF")</f>
        <v/>
      </c>
      <c r="H60" s="4" t="inlineStr">
        <is>
          <t>N/A</t>
        </is>
      </c>
      <c r="I60" s="4" t="inlineStr">
        <is>
          <t>BRENDA GUZMAN CHAVEZ</t>
        </is>
      </c>
      <c r="J60" s="4" t="n">
        <v>4697</v>
      </c>
      <c r="K60" s="4" t="inlineStr">
        <is>
          <t>MXN</t>
        </is>
      </c>
      <c r="L60" s="4" t="inlineStr">
        <is>
          <t>CAFE CACHANILLA</t>
        </is>
      </c>
      <c r="M60" s="4" t="inlineStr">
        <is>
          <t>DEAA31CA-D5FE-415B-B020-C7FEFB631D39</t>
        </is>
      </c>
      <c r="N60" s="4" t="inlineStr">
        <is>
          <t>OK - Corresponde a la OC #1 (ID: 150732) por monto exacto.</t>
        </is>
      </c>
    </row>
    <row r="61">
      <c r="A61" s="4" t="inlineStr">
        <is>
          <t>✅ OK</t>
        </is>
      </c>
      <c r="B61" s="4" t="n">
        <v>95</v>
      </c>
      <c r="C61" s="4" t="inlineStr">
        <is>
          <t>2025-11-19 20:56:47</t>
        </is>
      </c>
      <c r="D61" s="4" t="inlineStr">
        <is>
          <t>Sí</t>
        </is>
      </c>
      <c r="E61" s="4" t="n">
        <v>1</v>
      </c>
      <c r="F61" s="4" t="inlineStr">
        <is>
          <t>Sí</t>
        </is>
      </c>
      <c r="G61" s="5">
        <f>HYPERLINK("https://drive.google.com/file/d/1HFChyWePWdtDXOqnwvCwZvouQDxsaZD5/view", "Ver PDF")</f>
        <v/>
      </c>
      <c r="H61" s="4" t="inlineStr">
        <is>
          <t>N/A</t>
        </is>
      </c>
      <c r="I61" s="4" t="inlineStr">
        <is>
          <t>MORVIL S.A de C.V.</t>
        </is>
      </c>
      <c r="J61" s="4" t="n">
        <v>542.91</v>
      </c>
      <c r="K61" s="4" t="inlineStr">
        <is>
          <t>MXN</t>
        </is>
      </c>
      <c r="L61" s="4" t="inlineStr">
        <is>
          <t>Cafe Cachanilla</t>
        </is>
      </c>
      <c r="M61" s="4" t="inlineStr">
        <is>
          <t>4C6D319F-106E-5898-B755-68FC0B274529</t>
        </is>
      </c>
      <c r="N61" s="4" t="inlineStr">
        <is>
          <t>OK - Corresponde a la OC #1 (ID: 150941) por monto exacto.</t>
        </is>
      </c>
    </row>
    <row r="62">
      <c r="A62" s="4" t="inlineStr">
        <is>
          <t>✅ OK</t>
        </is>
      </c>
      <c r="B62" s="4" t="n">
        <v>96</v>
      </c>
      <c r="C62" s="4" t="inlineStr">
        <is>
          <t>2025-11-19 20:56:48</t>
        </is>
      </c>
      <c r="D62" s="4" t="inlineStr">
        <is>
          <t>Sí</t>
        </is>
      </c>
      <c r="E62" s="4" t="n">
        <v>1</v>
      </c>
      <c r="F62" s="4" t="inlineStr">
        <is>
          <t>Sí</t>
        </is>
      </c>
      <c r="G62" s="5">
        <f>HYPERLINK("https://drive.google.com/file/d/10yGR-39fQi33tFqzBcG-MrcuyQXhPZcH/view", "Ver PDF")</f>
        <v/>
      </c>
      <c r="H62" s="4" t="inlineStr">
        <is>
          <t>N/A</t>
        </is>
      </c>
      <c r="I62" s="4" t="inlineStr">
        <is>
          <t>JUAN PABLO BOJORQUEZ NORIEGA</t>
        </is>
      </c>
      <c r="J62" s="4" t="n">
        <v>1036</v>
      </c>
      <c r="K62" s="4" t="inlineStr">
        <is>
          <t>MXN</t>
        </is>
      </c>
      <c r="L62" s="4" t="inlineStr">
        <is>
          <t>BRAULIO MALDONADO LOC 85Y86 COL. CENTRO, MEXICALI, BAJA CALIFORNIA C.P. 21850, MEXICO</t>
        </is>
      </c>
      <c r="M62" s="4" t="inlineStr">
        <is>
          <t>95c1413b-1f98-45fb-a7e3-d6a5706d3334</t>
        </is>
      </c>
      <c r="N62" s="4" t="inlineStr">
        <is>
          <t>OK - Corresponde a la OC #1 (ID: 150722) por monto exacto.</t>
        </is>
      </c>
    </row>
    <row r="63">
      <c r="A63" s="4" t="inlineStr">
        <is>
          <t>✅ OK</t>
        </is>
      </c>
      <c r="B63" s="4" t="n">
        <v>97</v>
      </c>
      <c r="C63" s="4" t="inlineStr">
        <is>
          <t>2025-11-19 20:56:49</t>
        </is>
      </c>
      <c r="D63" s="4" t="inlineStr">
        <is>
          <t>Sí</t>
        </is>
      </c>
      <c r="E63" s="4" t="n">
        <v>1</v>
      </c>
      <c r="F63" s="4" t="inlineStr">
        <is>
          <t>Sí</t>
        </is>
      </c>
      <c r="G63" s="5">
        <f>HYPERLINK("https://drive.google.com/file/d/13TyScQM9DBuNLCUHBA4vLBilCmFlrZLj/view", "Ver PDF")</f>
        <v/>
      </c>
      <c r="H63" s="4" t="inlineStr">
        <is>
          <t>N/A</t>
        </is>
      </c>
      <c r="I63" s="4" t="inlineStr">
        <is>
          <t>JUAN PABLO BOJORQUEZ NORIEGA</t>
        </is>
      </c>
      <c r="J63" s="4" t="n">
        <v>1704.5</v>
      </c>
      <c r="K63" s="4" t="inlineStr">
        <is>
          <t>MXN</t>
        </is>
      </c>
      <c r="L63" s="4" t="inlineStr">
        <is>
          <t>BRAULIO MALDONADO LOC 85Y86 COL. CENTRO MEXICALI, BAJA CALIFORNIA C.P. 21850</t>
        </is>
      </c>
      <c r="M63" s="4" t="inlineStr">
        <is>
          <t>6cff2336-ceae-437f-86bd-2b8cb10456ef</t>
        </is>
      </c>
      <c r="N63" s="4" t="inlineStr">
        <is>
          <t>OK - Corresponde a la OC #1 (ID: 150633) por monto exacto.</t>
        </is>
      </c>
    </row>
    <row r="64">
      <c r="A64" s="4" t="inlineStr">
        <is>
          <t>✅ OK</t>
        </is>
      </c>
      <c r="B64" s="4" t="n">
        <v>98</v>
      </c>
      <c r="C64" s="4" t="inlineStr">
        <is>
          <t>2025-11-19 20:56:51</t>
        </is>
      </c>
      <c r="D64" s="4" t="inlineStr">
        <is>
          <t>Sí</t>
        </is>
      </c>
      <c r="E64" s="4" t="n">
        <v>1</v>
      </c>
      <c r="F64" s="4" t="inlineStr">
        <is>
          <t>Sí</t>
        </is>
      </c>
      <c r="G64" s="5">
        <f>HYPERLINK("https://drive.google.com/file/d/12Dcg8YQevx5f6RwRap9rZoc69utsK_na/view", "Ver PDF")</f>
        <v/>
      </c>
      <c r="H64" s="4" t="inlineStr">
        <is>
          <t>N/A</t>
        </is>
      </c>
      <c r="I64" s="4" t="inlineStr">
        <is>
          <t>DEL HUERTO DISTRIBUIDORA JONATHAN JIMENEZ CIREROL</t>
        </is>
      </c>
      <c r="J64" s="4" t="n">
        <v>1466.44</v>
      </c>
      <c r="K64" s="4" t="inlineStr">
        <is>
          <t>MXN</t>
        </is>
      </c>
      <c r="L64" s="4" t="inlineStr">
        <is>
          <t>CAFE CACHANILLA</t>
        </is>
      </c>
      <c r="M64" s="4" t="inlineStr">
        <is>
          <t>843</t>
        </is>
      </c>
      <c r="N64" s="4" t="inlineStr">
        <is>
          <t>OK - Corresponde a la OC #1 (ID: 151285) por monto exacto.</t>
        </is>
      </c>
    </row>
    <row r="65">
      <c r="A65" s="2" t="inlineStr">
        <is>
          <t>⚠️ ANOMALÍA</t>
        </is>
      </c>
      <c r="B65" s="2" t="n">
        <v>99</v>
      </c>
      <c r="C65" s="2" t="inlineStr">
        <is>
          <t>2025-11-19 20:56:51</t>
        </is>
      </c>
      <c r="D65" s="2" t="inlineStr">
        <is>
          <t>Sí</t>
        </is>
      </c>
      <c r="E65" s="2" t="n">
        <v>1</v>
      </c>
      <c r="F65" s="2" t="inlineStr">
        <is>
          <t>Sí</t>
        </is>
      </c>
      <c r="G65" s="3">
        <f>HYPERLINK("https://drive.google.com/file/d/1ErfcXByRtHtW2BqqTQksn2imSmGFu3Fm/view", "Ver PDF")</f>
        <v/>
      </c>
      <c r="H65" s="2" t="inlineStr">
        <is>
          <t>⚠️ Discrepancias</t>
        </is>
      </c>
      <c r="I65" s="2" t="inlineStr">
        <is>
          <t>DEL HUERTO DISTRIBUIDORA</t>
        </is>
      </c>
      <c r="J65" s="2" t="n">
        <v>2639.59</v>
      </c>
      <c r="K65" s="2" t="inlineStr">
        <is>
          <t>MXN</t>
        </is>
      </c>
      <c r="L65" s="2" t="inlineStr">
        <is>
          <t>CAFE CACHANILLA</t>
        </is>
      </c>
      <c r="M65" s="2" t="inlineStr">
        <is>
          <t>847</t>
        </is>
      </c>
      <c r="N65" s="2" t="inlineStr">
        <is>
          <t>DISCREPANCIA - El monto de la factura ($2,639.59) coincide con OC #1, pero el proveedor es diferente (Factura: DEL HUERTO DISTRIBUIDORA, OC: JONATHAN JIMENEZ CIREROL).</t>
        </is>
      </c>
    </row>
    <row r="66">
      <c r="A66" s="4" t="inlineStr">
        <is>
          <t>✅ OK</t>
        </is>
      </c>
      <c r="B66" s="4" t="n">
        <v>100</v>
      </c>
      <c r="C66" s="4" t="inlineStr">
        <is>
          <t>2025-11-19 20:56:53</t>
        </is>
      </c>
      <c r="D66" s="4" t="inlineStr">
        <is>
          <t>Sí</t>
        </is>
      </c>
      <c r="E66" s="4" t="n">
        <v>1</v>
      </c>
      <c r="F66" s="4" t="inlineStr">
        <is>
          <t>Sí</t>
        </is>
      </c>
      <c r="G66" s="5">
        <f>HYPERLINK("https://drive.google.com/file/d/1l8r03UhEUtNgtTzub17PYtOgzJCav_Nn/view", "Ver PDF")</f>
        <v/>
      </c>
      <c r="H66" s="4" t="inlineStr">
        <is>
          <t>N/A</t>
        </is>
      </c>
      <c r="I66" s="4" t="inlineStr">
        <is>
          <t>JUAN PABLO BOJORQUEZ NORIEGA</t>
        </is>
      </c>
      <c r="J66" s="4" t="n">
        <v>2982</v>
      </c>
      <c r="K66" s="4" t="inlineStr">
        <is>
          <t>MXN</t>
        </is>
      </c>
      <c r="L66" s="4" t="inlineStr">
        <is>
          <t>MEXICALI, BAJA CALIFORNIA C.P. 21850 MEXICO</t>
        </is>
      </c>
      <c r="M66" s="4" t="inlineStr">
        <is>
          <t>1014f653-e55c-4e65-876e-49e71822d732</t>
        </is>
      </c>
      <c r="N66" s="4" t="inlineStr">
        <is>
          <t>OK - Corresponde a la OC #1 (ID: 150849) por monto exacto.</t>
        </is>
      </c>
    </row>
    <row r="67">
      <c r="A67" s="4" t="inlineStr">
        <is>
          <t>✅ OK</t>
        </is>
      </c>
      <c r="B67" s="4" t="n">
        <v>101</v>
      </c>
      <c r="C67" s="4" t="inlineStr">
        <is>
          <t>2025-11-19 20:56:54</t>
        </is>
      </c>
      <c r="D67" s="4" t="inlineStr">
        <is>
          <t>Sí</t>
        </is>
      </c>
      <c r="E67" s="4" t="n">
        <v>1</v>
      </c>
      <c r="F67" s="4" t="inlineStr">
        <is>
          <t>Sí</t>
        </is>
      </c>
      <c r="G67" s="5">
        <f>HYPERLINK("https://drive.google.com/file/d/1QTMQz2166vX9ayUGEnsgbRU3VYt5UCCe/view", "Ver PDF")</f>
        <v/>
      </c>
      <c r="H67" s="4" t="inlineStr">
        <is>
          <t>N/A</t>
        </is>
      </c>
      <c r="I67" s="4" t="inlineStr">
        <is>
          <t>JUAN PABLO BOJORQUEZ NORIEGA</t>
        </is>
      </c>
      <c r="J67" s="4" t="n">
        <v>3800.5</v>
      </c>
      <c r="K67" s="4" t="inlineStr">
        <is>
          <t>MXN</t>
        </is>
      </c>
      <c r="L67" s="4" t="inlineStr">
        <is>
          <t>CLIENTE MEXICALI, BAJA CALIFORNIA C.P. 21850 MEXICO</t>
        </is>
      </c>
      <c r="M67" s="4" t="inlineStr">
        <is>
          <t>5284ab0a-b1e7-4e9a-b707-e3f2875c15d0</t>
        </is>
      </c>
      <c r="N67" s="4" t="inlineStr">
        <is>
          <t>OK - Corresponde a la OC #1 (ID: 150685) por monto exacto.</t>
        </is>
      </c>
    </row>
    <row r="68">
      <c r="A68" s="4" t="inlineStr">
        <is>
          <t>✅ OK</t>
        </is>
      </c>
      <c r="B68" s="4" t="n">
        <v>102</v>
      </c>
      <c r="C68" s="4" t="inlineStr">
        <is>
          <t>2025-11-19 20:56:55</t>
        </is>
      </c>
      <c r="D68" s="4" t="inlineStr">
        <is>
          <t>Sí</t>
        </is>
      </c>
      <c r="E68" s="4" t="n">
        <v>1</v>
      </c>
      <c r="F68" s="4" t="inlineStr">
        <is>
          <t>Sí</t>
        </is>
      </c>
      <c r="G68" s="5">
        <f>HYPERLINK("https://drive.google.com/file/d/1pOleoc5SGbuM0KfU-mkuEVKBZtra_UA1/view", "Ver PDF")</f>
        <v/>
      </c>
      <c r="H68" s="4" t="inlineStr">
        <is>
          <t>N/A</t>
        </is>
      </c>
      <c r="I68" s="4" t="inlineStr">
        <is>
          <t>JUAN PABLO BOJORQUEZ NORIEGA</t>
        </is>
      </c>
      <c r="J68" s="4" t="n">
        <v>4394.5</v>
      </c>
      <c r="K68" s="4" t="inlineStr">
        <is>
          <t>MXN</t>
        </is>
      </c>
      <c r="L68" s="4" t="inlineStr">
        <is>
          <t>BRAULIO MALDONADO LOC 85Y86 COL. CENTRO, MEXICALI, BAJA CALIFORNIA C.P. 21850</t>
        </is>
      </c>
      <c r="M68" s="4" t="inlineStr">
        <is>
          <t>9afdea52-50fb-40e7-947c-96a53d03e1ca</t>
        </is>
      </c>
      <c r="N68" s="4" t="inlineStr">
        <is>
          <t>OK - Corresponde a la OC #1 (ID: 150721) por monto exacto.</t>
        </is>
      </c>
    </row>
    <row r="69">
      <c r="A69" s="4" t="inlineStr">
        <is>
          <t>✅ OK</t>
        </is>
      </c>
      <c r="B69" s="4" t="n">
        <v>103</v>
      </c>
      <c r="C69" s="4" t="inlineStr">
        <is>
          <t>2025-11-19 20:56:56</t>
        </is>
      </c>
      <c r="D69" s="4" t="inlineStr">
        <is>
          <t>Sí</t>
        </is>
      </c>
      <c r="E69" s="4" t="n">
        <v>1</v>
      </c>
      <c r="F69" s="4" t="inlineStr">
        <is>
          <t>Sí</t>
        </is>
      </c>
      <c r="G69" s="5">
        <f>HYPERLINK("https://drive.google.com/file/d/1hgqZgn6BLfR-1czOBLprfW-_J3vAGJvk/view", "Ver PDF")</f>
        <v/>
      </c>
      <c r="H69" s="4" t="inlineStr">
        <is>
          <t>N/A</t>
        </is>
      </c>
      <c r="I69" s="4" t="inlineStr">
        <is>
          <t>JUAN PABLO BOJORQUEZ NORIEGA</t>
        </is>
      </c>
      <c r="J69" s="4" t="n">
        <v>2548</v>
      </c>
      <c r="K69" s="4" t="inlineStr">
        <is>
          <t>MXN</t>
        </is>
      </c>
      <c r="L69" s="4" t="inlineStr">
        <is>
          <t>BRAULIO MALDONADO LOC 85Y86 COL. CENTRO MEXICALI, BAJA CALIFORNIA C.P. 21850 MEXICO</t>
        </is>
      </c>
      <c r="M69" s="4" t="inlineStr">
        <is>
          <t>439c49f0-2cb7-45a5-8055-9cd363322e82</t>
        </is>
      </c>
      <c r="N69" s="4" t="inlineStr">
        <is>
          <t>OK - Corresponde a la OC #1 (ID: 150632) por monto exacto.</t>
        </is>
      </c>
    </row>
    <row r="70">
      <c r="A70" s="4" t="inlineStr">
        <is>
          <t>✅ OK</t>
        </is>
      </c>
      <c r="B70" s="4" t="n">
        <v>104</v>
      </c>
      <c r="C70" s="4" t="inlineStr">
        <is>
          <t>2025-11-19 20:56:57</t>
        </is>
      </c>
      <c r="D70" s="4" t="inlineStr">
        <is>
          <t>Sí</t>
        </is>
      </c>
      <c r="E70" s="4" t="n">
        <v>1</v>
      </c>
      <c r="F70" s="4" t="inlineStr">
        <is>
          <t>Sí</t>
        </is>
      </c>
      <c r="G70" s="5">
        <f>HYPERLINK("https://drive.google.com/file/d/1B60FMLP3kvxbDc6K0xohOp7tQKJErNI_/view", "Ver PDF")</f>
        <v/>
      </c>
      <c r="H70" s="4" t="inlineStr">
        <is>
          <t>N/A</t>
        </is>
      </c>
      <c r="I70" s="4" t="inlineStr">
        <is>
          <t>DEL HUERTO DISTRIBUIDORA JONATHAN JIMENEZ CIREROL</t>
        </is>
      </c>
      <c r="J70" s="4" t="n">
        <v>2639.59</v>
      </c>
      <c r="K70" s="4" t="inlineStr">
        <is>
          <t>MXN</t>
        </is>
      </c>
      <c r="L70" s="4" t="inlineStr">
        <is>
          <t>CAFE CACHANILLA</t>
        </is>
      </c>
      <c r="M70" s="4" t="inlineStr">
        <is>
          <t>841</t>
        </is>
      </c>
      <c r="N70" s="4" t="inlineStr">
        <is>
          <t>OK - Corresponde a la OC #1 (ID: 151245) por monto exacto.</t>
        </is>
      </c>
    </row>
    <row r="71">
      <c r="A71" s="4" t="inlineStr">
        <is>
          <t>✅ OK</t>
        </is>
      </c>
      <c r="B71" s="4" t="n">
        <v>105</v>
      </c>
      <c r="C71" s="4" t="inlineStr">
        <is>
          <t>2025-11-19 20:56:58</t>
        </is>
      </c>
      <c r="D71" s="4" t="inlineStr">
        <is>
          <t>Sí</t>
        </is>
      </c>
      <c r="E71" s="4" t="n">
        <v>1</v>
      </c>
      <c r="F71" s="4" t="inlineStr">
        <is>
          <t>Sí</t>
        </is>
      </c>
      <c r="G71" s="5">
        <f>HYPERLINK("https://drive.google.com/file/d/1Ioa7OFIGqlDmsqjHPJw-cYDsmCNhoUiw/view", "Ver PDF")</f>
        <v/>
      </c>
      <c r="H71" s="4" t="inlineStr">
        <is>
          <t>N/A</t>
        </is>
      </c>
      <c r="I71" s="4" t="inlineStr">
        <is>
          <t>DEL HUERTO DISTRIBUIDORA JONATHAN JIMENEZ CIREROL</t>
        </is>
      </c>
      <c r="J71" s="4" t="n">
        <v>2932.87</v>
      </c>
      <c r="K71" s="4" t="inlineStr">
        <is>
          <t>MXN</t>
        </is>
      </c>
      <c r="L71" s="4" t="inlineStr">
        <is>
          <t>CAFE CACHANILLA</t>
        </is>
      </c>
      <c r="M71" s="4" t="inlineStr">
        <is>
          <t>844</t>
        </is>
      </c>
      <c r="N71" s="4" t="inlineStr">
        <is>
          <t>OK - Corresponde a la OC #1 (ID: 151286) por monto exacto.</t>
        </is>
      </c>
    </row>
    <row r="72">
      <c r="A72" s="4" t="inlineStr">
        <is>
          <t>✅ OK</t>
        </is>
      </c>
      <c r="B72" s="4" t="n">
        <v>106</v>
      </c>
      <c r="C72" s="4" t="inlineStr">
        <is>
          <t>2025-11-19 20:56:59</t>
        </is>
      </c>
      <c r="D72" s="4" t="inlineStr">
        <is>
          <t>Sí</t>
        </is>
      </c>
      <c r="E72" s="4" t="n">
        <v>1</v>
      </c>
      <c r="F72" s="4" t="inlineStr">
        <is>
          <t>Sí</t>
        </is>
      </c>
      <c r="G72" s="5">
        <f>HYPERLINK("https://drive.google.com/file/d/1MGGQnc9uL5jSMYvQOs-hec-eeb7hFh6T/view", "Ver PDF")</f>
        <v/>
      </c>
      <c r="H72" s="4" t="inlineStr">
        <is>
          <t>N/A</t>
        </is>
      </c>
      <c r="I72" s="4" t="inlineStr">
        <is>
          <t>DEL HUERTO DISTRIBUIDORA JONATHAN JIMENEZ CIREROL</t>
        </is>
      </c>
      <c r="J72" s="4" t="n">
        <v>1466.44</v>
      </c>
      <c r="K72" s="4" t="inlineStr">
        <is>
          <t>MXN</t>
        </is>
      </c>
      <c r="L72" s="4" t="inlineStr">
        <is>
          <t>CAFE CACHANILLA</t>
        </is>
      </c>
      <c r="M72" s="4" t="inlineStr">
        <is>
          <t>846</t>
        </is>
      </c>
      <c r="N72" s="4" t="inlineStr">
        <is>
          <t>OK - Corresponde a la OC #1 (ID: 151312) por monto exacto.</t>
        </is>
      </c>
    </row>
    <row r="73">
      <c r="A73" s="2" t="inlineStr">
        <is>
          <t>⚠️ ANOMALÍA</t>
        </is>
      </c>
      <c r="B73" s="2" t="n">
        <v>107</v>
      </c>
      <c r="C73" s="2" t="inlineStr">
        <is>
          <t>2025-11-19 20:57:00</t>
        </is>
      </c>
      <c r="D73" s="2" t="inlineStr">
        <is>
          <t>No</t>
        </is>
      </c>
      <c r="E73" s="2" t="n">
        <v>0</v>
      </c>
      <c r="F73" s="2" t="inlineStr">
        <is>
          <t>Sí</t>
        </is>
      </c>
      <c r="G73" s="3">
        <f>HYPERLINK("https://drive.google.com/file/d/1MTiZPU_alOFrj59vEMw3fkBFs59MvJ_8/view", "Ver PDF")</f>
        <v/>
      </c>
      <c r="H73" s="2" t="inlineStr">
        <is>
          <t>⚠️ Sin OC</t>
        </is>
      </c>
      <c r="I73" s="2" t="inlineStr">
        <is>
          <t>N/A</t>
        </is>
      </c>
      <c r="J73" s="2" t="inlineStr">
        <is>
          <t>N/A</t>
        </is>
      </c>
      <c r="K73" s="2" t="inlineStr">
        <is>
          <t>N/A</t>
        </is>
      </c>
      <c r="L73" s="2" t="inlineStr">
        <is>
          <t>N/A</t>
        </is>
      </c>
      <c r="M73" s="2" t="inlineStr">
        <is>
          <t>N/A</t>
        </is>
      </c>
      <c r="N73" s="2" t="inlineStr"/>
    </row>
    <row r="74">
      <c r="A74" s="2" t="inlineStr">
        <is>
          <t>⚠️ ANOMALÍA</t>
        </is>
      </c>
      <c r="B74" s="2" t="n">
        <v>108</v>
      </c>
      <c r="C74" s="2" t="inlineStr">
        <is>
          <t>2025-11-19 20:57:00</t>
        </is>
      </c>
      <c r="D74" s="2" t="inlineStr">
        <is>
          <t>No</t>
        </is>
      </c>
      <c r="E74" s="2" t="n">
        <v>0</v>
      </c>
      <c r="F74" s="2" t="inlineStr">
        <is>
          <t>Sí</t>
        </is>
      </c>
      <c r="G74" s="3">
        <f>HYPERLINK("https://drive.google.com/file/d/1hSQLPkdIbR6l8UkFi8AARMEP1wd1w4Of/view", "Ver PDF")</f>
        <v/>
      </c>
      <c r="H74" s="2" t="inlineStr">
        <is>
          <t>⚠️ Sin OC</t>
        </is>
      </c>
      <c r="I74" s="2" t="inlineStr">
        <is>
          <t>N/A</t>
        </is>
      </c>
      <c r="J74" s="2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/>
    </row>
    <row r="75">
      <c r="A75" s="2" t="inlineStr">
        <is>
          <t>⚠️ ANOMALÍA</t>
        </is>
      </c>
      <c r="B75" s="2" t="n">
        <v>109</v>
      </c>
      <c r="C75" s="2" t="inlineStr">
        <is>
          <t>2025-11-19 20:57:02</t>
        </is>
      </c>
      <c r="D75" s="2" t="inlineStr">
        <is>
          <t>No</t>
        </is>
      </c>
      <c r="E75" s="2" t="n">
        <v>0</v>
      </c>
      <c r="F75" s="2" t="inlineStr">
        <is>
          <t>Sí</t>
        </is>
      </c>
      <c r="G75" s="3">
        <f>HYPERLINK("https://drive.google.com/file/d/1Co4YU9K7gZps4Q0-inS2yYEVI_cJoWyv/view", "Ver PDF")</f>
        <v/>
      </c>
      <c r="H75" s="2" t="inlineStr">
        <is>
          <t>⚠️ Sin OC</t>
        </is>
      </c>
      <c r="I75" s="2" t="inlineStr">
        <is>
          <t>N/A</t>
        </is>
      </c>
      <c r="J75" s="2" t="inlineStr">
        <is>
          <t>N/A</t>
        </is>
      </c>
      <c r="K75" s="2" t="inlineStr">
        <is>
          <t>N/A</t>
        </is>
      </c>
      <c r="L75" s="2" t="inlineStr">
        <is>
          <t>N/A</t>
        </is>
      </c>
      <c r="M75" s="2" t="inlineStr">
        <is>
          <t>N/A</t>
        </is>
      </c>
      <c r="N75" s="2" t="inlineStr"/>
    </row>
    <row r="76">
      <c r="A76" s="2" t="inlineStr">
        <is>
          <t>⚠️ ANOMALÍA</t>
        </is>
      </c>
      <c r="B76" s="2" t="n">
        <v>110</v>
      </c>
      <c r="C76" s="2" t="inlineStr">
        <is>
          <t>2025-11-19 20:57:02</t>
        </is>
      </c>
      <c r="D76" s="2" t="inlineStr">
        <is>
          <t>Sí</t>
        </is>
      </c>
      <c r="E76" s="2" t="n">
        <v>1</v>
      </c>
      <c r="F76" s="2" t="inlineStr">
        <is>
          <t>Sí</t>
        </is>
      </c>
      <c r="G76" s="3">
        <f>HYPERLINK("https://drive.google.com/file/d/1Bp83Q6jO49uPHvler2ej--5NBa-kk8QC/view", "Ver PDF")</f>
        <v/>
      </c>
      <c r="H76" s="2" t="inlineStr">
        <is>
          <t>⚠️ Discrepancias</t>
        </is>
      </c>
      <c r="I76" s="2" t="inlineStr">
        <is>
          <t>JESÚS ERNESTO GÓMEZ RODRIGUEZ</t>
        </is>
      </c>
      <c r="J76" s="2" t="n">
        <v>256770</v>
      </c>
      <c r="K76" s="2" t="inlineStr">
        <is>
          <t>M.N.</t>
        </is>
      </c>
      <c r="L76" s="2" t="inlineStr">
        <is>
          <t>CAFE CACHANILLA</t>
        </is>
      </c>
      <c r="M76" s="2" t="inlineStr">
        <is>
          <t>null</t>
        </is>
      </c>
      <c r="N76" s="2" t="inlineStr">
        <is>
          <t>DISCREPANCIA - El monto de la factura ($256,770.00) coincide con la OC #1, pero el proveedor es diferente (Factura: JESÚS ERNESTO GÓMEZ RODRIGUEZ vs OC #1: VASOKING DE MEXICO S DE RL DE CV).</t>
        </is>
      </c>
    </row>
    <row r="77">
      <c r="A77" s="2" t="inlineStr">
        <is>
          <t>⚠️ ANOMALÍA</t>
        </is>
      </c>
      <c r="B77" s="2" t="n">
        <v>111</v>
      </c>
      <c r="C77" s="2" t="inlineStr">
        <is>
          <t>2025-11-19 20:57:04</t>
        </is>
      </c>
      <c r="D77" s="2" t="inlineStr">
        <is>
          <t>No</t>
        </is>
      </c>
      <c r="E77" s="2" t="n">
        <v>0</v>
      </c>
      <c r="F77" s="2" t="inlineStr">
        <is>
          <t>Sí</t>
        </is>
      </c>
      <c r="G77" s="3">
        <f>HYPERLINK("https://drive.google.com/file/d/1dqLcS2GASSpoMitjlzCwxcOg4Ww_H26k/view", "Ver PDF")</f>
        <v/>
      </c>
      <c r="H77" s="2" t="inlineStr">
        <is>
          <t>⚠️ Sin OC</t>
        </is>
      </c>
      <c r="I77" s="2" t="inlineStr">
        <is>
          <t>N/A</t>
        </is>
      </c>
      <c r="J77" s="2" t="inlineStr">
        <is>
          <t>N/A</t>
        </is>
      </c>
      <c r="K77" s="2" t="inlineStr">
        <is>
          <t>N/A</t>
        </is>
      </c>
      <c r="L77" s="2" t="inlineStr">
        <is>
          <t>N/A</t>
        </is>
      </c>
      <c r="M77" s="2" t="inlineStr">
        <is>
          <t>N/A</t>
        </is>
      </c>
      <c r="N77" s="2" t="inlineStr"/>
    </row>
    <row r="78">
      <c r="A78" s="2" t="inlineStr">
        <is>
          <t>⚠️ ANOMALÍA</t>
        </is>
      </c>
      <c r="B78" s="2" t="n">
        <v>112</v>
      </c>
      <c r="C78" s="2" t="inlineStr">
        <is>
          <t>2025-11-19 20:57:05</t>
        </is>
      </c>
      <c r="D78" s="2" t="inlineStr">
        <is>
          <t>Sí</t>
        </is>
      </c>
      <c r="E78" s="2" t="n">
        <v>1</v>
      </c>
      <c r="F78" s="2" t="inlineStr">
        <is>
          <t>Sí</t>
        </is>
      </c>
      <c r="G78" s="3">
        <f>HYPERLINK("https://drive.google.com/file/d/17Cz5gRGJu9_44pcFikHHFyall6cSt_fK/view", "Ver PDF")</f>
        <v/>
      </c>
      <c r="H78" s="2" t="inlineStr">
        <is>
          <t>⚠️ Discrepancias</t>
        </is>
      </c>
      <c r="I78" s="2" t="inlineStr">
        <is>
          <t>CAFE CACHANILLA</t>
        </is>
      </c>
      <c r="J78" s="2" t="n">
        <v>45954</v>
      </c>
      <c r="K78" s="2" t="inlineStr">
        <is>
          <t>M.N.</t>
        </is>
      </c>
      <c r="L78" s="2" t="inlineStr"/>
      <c r="M78" s="2" t="inlineStr">
        <is>
          <t>null</t>
        </is>
      </c>
      <c r="N78" s="2" t="inlineStr">
        <is>
          <t>DISCREPANCIA - El monto de la factura ($45,954.00) coincide con la OC #1, pero el proveedor es diferente (Factura: CAFE CACHANILLA, OC: VASOKING DE MEXICO S DE RL DE CV).</t>
        </is>
      </c>
    </row>
    <row r="79">
      <c r="A79" s="4" t="inlineStr">
        <is>
          <t>✅ OK</t>
        </is>
      </c>
      <c r="B79" s="4" t="n">
        <v>113</v>
      </c>
      <c r="C79" s="4" t="inlineStr">
        <is>
          <t>2025-11-19 20:57:05</t>
        </is>
      </c>
      <c r="D79" s="4" t="inlineStr">
        <is>
          <t>Sí</t>
        </is>
      </c>
      <c r="E79" s="4" t="n">
        <v>1</v>
      </c>
      <c r="F79" s="4" t="inlineStr">
        <is>
          <t>Sí</t>
        </is>
      </c>
      <c r="G79" s="5">
        <f>HYPERLINK("https://drive.google.com/file/d/1Wx9k8G8l7dcbjx-km_JJAjOv-Vrm-1mc/view", "Ver PDF")</f>
        <v/>
      </c>
      <c r="H79" s="4" t="inlineStr">
        <is>
          <t>N/A</t>
        </is>
      </c>
      <c r="I79" s="4" t="inlineStr">
        <is>
          <t>COMERCIALIZADORA ELORO, S.A.</t>
        </is>
      </c>
      <c r="J79" s="4" t="n">
        <v>962</v>
      </c>
      <c r="K79" s="4" t="inlineStr">
        <is>
          <t>MXN</t>
        </is>
      </c>
      <c r="L79" s="4" t="inlineStr">
        <is>
          <t>CAFE CHACHANILLA S DE RL DE CV</t>
        </is>
      </c>
      <c r="M79" s="4" t="inlineStr">
        <is>
          <t>9243090417</t>
        </is>
      </c>
      <c r="N79" s="4" t="inlineStr">
        <is>
          <t>OK - Corresponde a la OC #1 (ID: 151650) por monto exacto.</t>
        </is>
      </c>
    </row>
    <row r="80">
      <c r="A80" s="2" t="inlineStr">
        <is>
          <t>⚠️ ANOMALÍA</t>
        </is>
      </c>
      <c r="B80" s="2" t="n">
        <v>114</v>
      </c>
      <c r="C80" s="2" t="inlineStr">
        <is>
          <t>2025-11-19 20:57:07</t>
        </is>
      </c>
      <c r="D80" s="2" t="inlineStr">
        <is>
          <t>No</t>
        </is>
      </c>
      <c r="E80" s="2" t="n">
        <v>0</v>
      </c>
      <c r="F80" s="2" t="inlineStr">
        <is>
          <t>Sí</t>
        </is>
      </c>
      <c r="G80" s="3">
        <f>HYPERLINK("https://drive.google.com/file/d/1bYfadlHQr0L078lo-kFR7E9S8Ksrqjqm/view", "Ver PDF")</f>
        <v/>
      </c>
      <c r="H80" s="2" t="inlineStr">
        <is>
          <t>⚠️ Sin OC</t>
        </is>
      </c>
      <c r="I80" s="2" t="inlineStr">
        <is>
          <t>N/A</t>
        </is>
      </c>
      <c r="J80" s="2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/>
    </row>
    <row r="81">
      <c r="A81" s="2" t="inlineStr">
        <is>
          <t>⚠️ ANOMALÍA</t>
        </is>
      </c>
      <c r="B81" s="2" t="n">
        <v>115</v>
      </c>
      <c r="C81" s="2" t="inlineStr">
        <is>
          <t>2025-11-19 20:57:08</t>
        </is>
      </c>
      <c r="D81" s="2" t="inlineStr">
        <is>
          <t>No</t>
        </is>
      </c>
      <c r="E81" s="2" t="n">
        <v>0</v>
      </c>
      <c r="F81" s="2" t="inlineStr">
        <is>
          <t>Sí</t>
        </is>
      </c>
      <c r="G81" s="3">
        <f>HYPERLINK("https://drive.google.com/file/d/1GRHqoGRUYV9Kp39j5IhgGeEPCJdCHgpF/view", "Ver PDF")</f>
        <v/>
      </c>
      <c r="H81" s="2" t="inlineStr">
        <is>
          <t>⚠️ Sin OC</t>
        </is>
      </c>
      <c r="I81" s="2" t="inlineStr">
        <is>
          <t>N/A</t>
        </is>
      </c>
      <c r="J81" s="2" t="inlineStr">
        <is>
          <t>N/A</t>
        </is>
      </c>
      <c r="K81" s="2" t="inlineStr">
        <is>
          <t>N/A</t>
        </is>
      </c>
      <c r="L81" s="2" t="inlineStr">
        <is>
          <t>N/A</t>
        </is>
      </c>
      <c r="M81" s="2" t="inlineStr">
        <is>
          <t>N/A</t>
        </is>
      </c>
      <c r="N81" s="2" t="inlineStr"/>
    </row>
    <row r="82">
      <c r="A82" s="4" t="inlineStr">
        <is>
          <t>✅ OK</t>
        </is>
      </c>
      <c r="B82" s="4" t="n">
        <v>116</v>
      </c>
      <c r="C82" s="4" t="inlineStr">
        <is>
          <t>2025-11-19 20:57:09</t>
        </is>
      </c>
      <c r="D82" s="4" t="inlineStr">
        <is>
          <t>Sí</t>
        </is>
      </c>
      <c r="E82" s="4" t="n">
        <v>1</v>
      </c>
      <c r="F82" s="4" t="inlineStr">
        <is>
          <t>Sí</t>
        </is>
      </c>
      <c r="G82" s="5">
        <f>HYPERLINK("https://drive.google.com/file/d/16WgsFOPKQ6krcxxl38ugnvmyZHEv-dyX/view", "Ver PDF")</f>
        <v/>
      </c>
      <c r="H82" s="4" t="inlineStr">
        <is>
          <t>N/A</t>
        </is>
      </c>
      <c r="I82" s="4" t="inlineStr">
        <is>
          <t>DP3 MEXICALI</t>
        </is>
      </c>
      <c r="J82" s="4" t="n">
        <v>9592.040000000001</v>
      </c>
      <c r="K82" s="4" t="inlineStr">
        <is>
          <t>MXN</t>
        </is>
      </c>
      <c r="L82" s="4" t="inlineStr">
        <is>
          <t>CAFE CACHANILLA</t>
        </is>
      </c>
      <c r="M82" s="4" t="inlineStr">
        <is>
          <t>A 17778</t>
        </is>
      </c>
      <c r="N82" s="4" t="inlineStr">
        <is>
          <t>OK - Corresponde a la OC #1 (ID: 151257) por monto exacto.</t>
        </is>
      </c>
    </row>
    <row r="83">
      <c r="A83" s="4" t="inlineStr">
        <is>
          <t>✅ OK</t>
        </is>
      </c>
      <c r="B83" s="4" t="n">
        <v>117</v>
      </c>
      <c r="C83" s="4" t="inlineStr">
        <is>
          <t>2025-11-19 20:57:10</t>
        </is>
      </c>
      <c r="D83" s="4" t="inlineStr">
        <is>
          <t>Sí</t>
        </is>
      </c>
      <c r="E83" s="4" t="n">
        <v>1</v>
      </c>
      <c r="F83" s="4" t="inlineStr">
        <is>
          <t>Sí</t>
        </is>
      </c>
      <c r="G83" s="5">
        <f>HYPERLINK("https://drive.google.com/file/d/1lxsqLfKoi-8uZcPlZWpCLeAhFTGYupIZ/view", "Ver PDF")</f>
        <v/>
      </c>
      <c r="H83" s="4" t="inlineStr">
        <is>
          <t>N/A</t>
        </is>
      </c>
      <c r="I83" s="4" t="inlineStr">
        <is>
          <t>BOLSAS COEXTRUIDAS</t>
        </is>
      </c>
      <c r="J83" s="4" t="n">
        <v>51620</v>
      </c>
      <c r="K83" s="4" t="inlineStr">
        <is>
          <t>MXN</t>
        </is>
      </c>
      <c r="L83" s="4" t="inlineStr">
        <is>
          <t>CAFE CACHANILLA</t>
        </is>
      </c>
      <c r="M83" s="4" t="inlineStr">
        <is>
          <t>LSO1306189R5</t>
        </is>
      </c>
      <c r="N83" s="4" t="inlineStr">
        <is>
          <t>OK - Corresponde a la OC #1 (ID: 151322) por monto exacto.</t>
        </is>
      </c>
    </row>
    <row r="84">
      <c r="A84" s="2" t="inlineStr">
        <is>
          <t>⚠️ ANOMALÍA</t>
        </is>
      </c>
      <c r="B84" s="2" t="n">
        <v>118</v>
      </c>
      <c r="C84" s="2" t="inlineStr">
        <is>
          <t>2025-11-19 20:57:11</t>
        </is>
      </c>
      <c r="D84" s="2" t="inlineStr">
        <is>
          <t>No</t>
        </is>
      </c>
      <c r="E84" s="2" t="n">
        <v>0</v>
      </c>
      <c r="F84" s="2" t="inlineStr">
        <is>
          <t>Sí</t>
        </is>
      </c>
      <c r="G84" s="3">
        <f>HYPERLINK("https://drive.google.com/file/d/1awsbyJj51iORInGMBetU5ikkCgHi9KZ2/view", "Ver PDF")</f>
        <v/>
      </c>
      <c r="H84" s="2" t="inlineStr">
        <is>
          <t>⚠️ Sin OC</t>
        </is>
      </c>
      <c r="I84" s="2" t="inlineStr">
        <is>
          <t>N/A</t>
        </is>
      </c>
      <c r="J84" s="2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/>
    </row>
    <row r="85">
      <c r="A85" s="2" t="inlineStr">
        <is>
          <t>⚠️ ANOMALÍA</t>
        </is>
      </c>
      <c r="B85" s="2" t="n">
        <v>119</v>
      </c>
      <c r="C85" s="2" t="inlineStr">
        <is>
          <t>2025-11-19 20:57:12</t>
        </is>
      </c>
      <c r="D85" s="2" t="inlineStr">
        <is>
          <t>No</t>
        </is>
      </c>
      <c r="E85" s="2" t="n">
        <v>0</v>
      </c>
      <c r="F85" s="2" t="inlineStr">
        <is>
          <t>Sí</t>
        </is>
      </c>
      <c r="G85" s="3">
        <f>HYPERLINK("https://drive.google.com/file/d/1pA0Cbj18-lVSWubP1K2AacC4PVcYnLiG/view", "Ver PDF")</f>
        <v/>
      </c>
      <c r="H85" s="2" t="inlineStr">
        <is>
          <t>⚠️ Sin OC</t>
        </is>
      </c>
      <c r="I85" s="2" t="inlineStr">
        <is>
          <t>N/A</t>
        </is>
      </c>
      <c r="J85" s="2" t="inlineStr">
        <is>
          <t>N/A</t>
        </is>
      </c>
      <c r="K85" s="2" t="inlineStr">
        <is>
          <t>N/A</t>
        </is>
      </c>
      <c r="L85" s="2" t="inlineStr">
        <is>
          <t>N/A</t>
        </is>
      </c>
      <c r="M85" s="2" t="inlineStr">
        <is>
          <t>N/A</t>
        </is>
      </c>
      <c r="N85" s="2" t="inlineStr"/>
    </row>
    <row r="86">
      <c r="A86" s="2" t="inlineStr">
        <is>
          <t>⚠️ ANOMALÍA</t>
        </is>
      </c>
      <c r="B86" s="2" t="n">
        <v>120</v>
      </c>
      <c r="C86" s="2" t="inlineStr">
        <is>
          <t>2025-11-19 20:57:13</t>
        </is>
      </c>
      <c r="D86" s="2" t="inlineStr">
        <is>
          <t>No</t>
        </is>
      </c>
      <c r="E86" s="2" t="n">
        <v>0</v>
      </c>
      <c r="F86" s="2" t="inlineStr">
        <is>
          <t>Sí</t>
        </is>
      </c>
      <c r="G86" s="3">
        <f>HYPERLINK("https://drive.google.com/file/d/1OEMfrLThB1DVpiuSLpV8yXKNyni0JhGU/view", "Ver PDF")</f>
        <v/>
      </c>
      <c r="H86" s="2" t="inlineStr">
        <is>
          <t>⚠️ Sin OC</t>
        </is>
      </c>
      <c r="I86" s="2" t="inlineStr">
        <is>
          <t>N/A</t>
        </is>
      </c>
      <c r="J86" s="2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/>
    </row>
    <row r="87">
      <c r="A87" s="2" t="inlineStr">
        <is>
          <t>⚠️ ANOMALÍA</t>
        </is>
      </c>
      <c r="B87" s="2" t="n">
        <v>121</v>
      </c>
      <c r="C87" s="2" t="inlineStr">
        <is>
          <t>2025-11-19 20:57:14</t>
        </is>
      </c>
      <c r="D87" s="2" t="inlineStr">
        <is>
          <t>Sí</t>
        </is>
      </c>
      <c r="E87" s="2" t="n">
        <v>1</v>
      </c>
      <c r="F87" s="2" t="inlineStr">
        <is>
          <t>Sí</t>
        </is>
      </c>
      <c r="G87" s="3">
        <f>HYPERLINK("https://drive.google.com/file/d/1HuSUxZ4QChxIFXNLtiI5YK_QIjesko27/view", "Ver PDF")</f>
        <v/>
      </c>
      <c r="H87" s="2" t="inlineStr">
        <is>
          <t>⚠️ Discrepancias</t>
        </is>
      </c>
      <c r="I87" s="2" t="inlineStr">
        <is>
          <t>JESÚS ERNESTO GÓMEZ RODRIGUEZ</t>
        </is>
      </c>
      <c r="J87" s="2" t="n">
        <v>176310</v>
      </c>
      <c r="K87" s="2" t="inlineStr">
        <is>
          <t>M.N.</t>
        </is>
      </c>
      <c r="L87" s="2" t="inlineStr">
        <is>
          <t>CAFE CACHANILLA</t>
        </is>
      </c>
      <c r="M87" s="2" t="inlineStr">
        <is>
          <t>59237</t>
        </is>
      </c>
      <c r="N87" s="2" t="inlineStr">
        <is>
          <t>DISCREPANCIA - El monto de la factura ($176,310.00) coincide con la OC #1, pero el proveedor es diferente (Factura: JESÚS ERNESTO GÓMEZ RODRIGUEZ, OC: VASOKING DE MEXICO S DE RL DE CV).</t>
        </is>
      </c>
    </row>
    <row r="88">
      <c r="A88" s="2" t="inlineStr">
        <is>
          <t>⚠️ ANOMALÍA</t>
        </is>
      </c>
      <c r="B88" s="2" t="n">
        <v>122</v>
      </c>
      <c r="C88" s="2" t="inlineStr">
        <is>
          <t>2025-11-19 20:57:16</t>
        </is>
      </c>
      <c r="D88" s="2" t="inlineStr">
        <is>
          <t>No</t>
        </is>
      </c>
      <c r="E88" s="2" t="n">
        <v>0</v>
      </c>
      <c r="F88" s="2" t="inlineStr">
        <is>
          <t>Sí</t>
        </is>
      </c>
      <c r="G88" s="3">
        <f>HYPERLINK("https://drive.google.com/file/d/1cM6r8yML7YWpmMm39MEqWAEzIx7WbgGI/view", "Ver PDF")</f>
        <v/>
      </c>
      <c r="H88" s="2" t="inlineStr">
        <is>
          <t>⚠️ Sin OC</t>
        </is>
      </c>
      <c r="I88" s="2" t="inlineStr">
        <is>
          <t>N/A</t>
        </is>
      </c>
      <c r="J88" s="2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/>
    </row>
    <row r="89">
      <c r="A89" s="2" t="inlineStr">
        <is>
          <t>⚠️ ANOMALÍA</t>
        </is>
      </c>
      <c r="B89" s="2" t="n">
        <v>123</v>
      </c>
      <c r="C89" s="2" t="inlineStr">
        <is>
          <t>2025-11-19 20:57:17</t>
        </is>
      </c>
      <c r="D89" s="2" t="inlineStr">
        <is>
          <t>No</t>
        </is>
      </c>
      <c r="E89" s="2" t="n">
        <v>0</v>
      </c>
      <c r="F89" s="2" t="inlineStr">
        <is>
          <t>Sí</t>
        </is>
      </c>
      <c r="G89" s="3">
        <f>HYPERLINK("https://drive.google.com/file/d/1JondX_qX-C_J9ebWsYb_ry4-QYlBVC9K/view", "Ver PDF")</f>
        <v/>
      </c>
      <c r="H89" s="2" t="inlineStr">
        <is>
          <t>⚠️ Sin OC</t>
        </is>
      </c>
      <c r="I89" s="2" t="inlineStr">
        <is>
          <t>N/A</t>
        </is>
      </c>
      <c r="J89" s="2" t="inlineStr">
        <is>
          <t>N/A</t>
        </is>
      </c>
      <c r="K89" s="2" t="inlineStr">
        <is>
          <t>N/A</t>
        </is>
      </c>
      <c r="L89" s="2" t="inlineStr">
        <is>
          <t>N/A</t>
        </is>
      </c>
      <c r="M89" s="2" t="inlineStr">
        <is>
          <t>N/A</t>
        </is>
      </c>
      <c r="N89" s="2" t="inlineStr"/>
    </row>
    <row r="90">
      <c r="A90" s="2" t="inlineStr">
        <is>
          <t>⚠️ ANOMALÍA</t>
        </is>
      </c>
      <c r="B90" s="2" t="n">
        <v>124</v>
      </c>
      <c r="C90" s="2" t="inlineStr">
        <is>
          <t>2025-11-19 20:57:18</t>
        </is>
      </c>
      <c r="D90" s="2" t="inlineStr">
        <is>
          <t>No</t>
        </is>
      </c>
      <c r="E90" s="2" t="n">
        <v>0</v>
      </c>
      <c r="F90" s="2" t="inlineStr">
        <is>
          <t>Sí</t>
        </is>
      </c>
      <c r="G90" s="3">
        <f>HYPERLINK("https://drive.google.com/file/d/1_VQNq78pFqY29ouhz48kyYVOo2b_10vj/view", "Ver PDF")</f>
        <v/>
      </c>
      <c r="H90" s="2" t="inlineStr">
        <is>
          <t>⚠️ Sin OC</t>
        </is>
      </c>
      <c r="I90" s="2" t="inlineStr">
        <is>
          <t>N/A</t>
        </is>
      </c>
      <c r="J90" s="2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/>
    </row>
    <row r="91">
      <c r="A91" s="2" t="inlineStr">
        <is>
          <t>⚠️ ANOMALÍA</t>
        </is>
      </c>
      <c r="B91" s="2" t="n">
        <v>125</v>
      </c>
      <c r="C91" s="2" t="inlineStr">
        <is>
          <t>2025-11-19 20:57:19</t>
        </is>
      </c>
      <c r="D91" s="2" t="inlineStr">
        <is>
          <t>Sí</t>
        </is>
      </c>
      <c r="E91" s="2" t="n">
        <v>1</v>
      </c>
      <c r="F91" s="2" t="inlineStr">
        <is>
          <t>Sí</t>
        </is>
      </c>
      <c r="G91" s="3">
        <f>HYPERLINK("https://drive.google.com/file/d/1zChAML710qbzoPsvazrKayZTMcNMEKUI/view", "Ver PDF")</f>
        <v/>
      </c>
      <c r="H91" s="2" t="inlineStr">
        <is>
          <t>⚠️ Discrepancias</t>
        </is>
      </c>
      <c r="I91" s="2" t="inlineStr">
        <is>
          <t>DISTRIBUIDORA ARCA CONTINENTAL</t>
        </is>
      </c>
      <c r="J91" s="2" t="n">
        <v>4489.43</v>
      </c>
      <c r="K91" s="2" t="inlineStr">
        <is>
          <t>MXN</t>
        </is>
      </c>
      <c r="L91" s="2" t="inlineStr">
        <is>
          <t>CLAUDIA JANETH FLORES JAUREGUI</t>
        </is>
      </c>
      <c r="M91" s="2" t="inlineStr">
        <is>
          <t>DMX 5627712355</t>
        </is>
      </c>
      <c r="N91" s="2" t="inlineStr">
        <is>
          <t>DISCREPANCIA - El monto de la factura ($4,489.43) no coincide con ninguna OC individual ni con la suma total ($4,848.58). Además, el proveedor de la OC tiene un nombre ligeramente diferente al de la f...</t>
        </is>
      </c>
    </row>
    <row r="92">
      <c r="A92" s="2" t="inlineStr">
        <is>
          <t>⚠️ ANOMALÍA</t>
        </is>
      </c>
      <c r="B92" s="2" t="n">
        <v>126</v>
      </c>
      <c r="C92" s="2" t="inlineStr">
        <is>
          <t>2025-11-19 20:57:20</t>
        </is>
      </c>
      <c r="D92" s="2" t="inlineStr">
        <is>
          <t>Sí</t>
        </is>
      </c>
      <c r="E92" s="2" t="n">
        <v>1</v>
      </c>
      <c r="F92" s="2" t="inlineStr">
        <is>
          <t>Sí</t>
        </is>
      </c>
      <c r="G92" s="3">
        <f>HYPERLINK("https://drive.google.com/file/d/1-f3UZUcIIxtG6PyJO-ONT9mLTeTaA34j/view", "Ver PDF")</f>
        <v/>
      </c>
      <c r="H92" s="2" t="inlineStr">
        <is>
          <t>⚠️ Discrepancias</t>
        </is>
      </c>
      <c r="I92" s="2" t="inlineStr">
        <is>
          <t>DISTRIBUIDORA ARCA CONTINENTAL</t>
        </is>
      </c>
      <c r="J92" s="2" t="n">
        <v>8100.91</v>
      </c>
      <c r="K92" s="2" t="inlineStr">
        <is>
          <t>MXN</t>
        </is>
      </c>
      <c r="L92" s="2" t="inlineStr">
        <is>
          <t>CLAUDIA JANETH FLORES JAUREGUI</t>
        </is>
      </c>
      <c r="M92" s="2" t="inlineStr">
        <is>
          <t>DMX 5628151718</t>
        </is>
      </c>
      <c r="N92" s="2" t="inlineStr">
        <is>
          <t>DISCREPANCIA - El monto de la factura ($8,100.91) no coincide con ninguna OC individual ($8,748.98) ni con la suma total, ya que solo hay una OC disponible. Además, el proveedor de la OC tiene un nomb...</t>
        </is>
      </c>
    </row>
    <row r="93">
      <c r="A93" s="4" t="inlineStr">
        <is>
          <t>✅ OK</t>
        </is>
      </c>
      <c r="B93" s="4" t="n">
        <v>127</v>
      </c>
      <c r="C93" s="4" t="inlineStr">
        <is>
          <t>2025-11-19 20:57:21</t>
        </is>
      </c>
      <c r="D93" s="4" t="inlineStr">
        <is>
          <t>Sí</t>
        </is>
      </c>
      <c r="E93" s="4" t="n">
        <v>1</v>
      </c>
      <c r="F93" s="4" t="inlineStr">
        <is>
          <t>Sí</t>
        </is>
      </c>
      <c r="G93" s="5">
        <f>HYPERLINK("https://drive.google.com/file/d/1u6Opk9wa8z_5N-3lI227LHHWt0EKVh1l/view", "Ver PDF")</f>
        <v/>
      </c>
      <c r="H93" s="4" t="inlineStr">
        <is>
          <t>N/A</t>
        </is>
      </c>
      <c r="I93" s="4" t="inlineStr">
        <is>
          <t>RICHARD RODRIGUEZ MALDONADO</t>
        </is>
      </c>
      <c r="J93" s="4" t="n">
        <v>14191.2</v>
      </c>
      <c r="K93" s="4" t="inlineStr">
        <is>
          <t>MXN</t>
        </is>
      </c>
      <c r="L93" s="4" t="inlineStr">
        <is>
          <t>CAFE CACHANILLA EAT BURGERS, CALZADA HECTOR TERAN TERAN #2542, Col. XOCHIMILCO, MEXICALI, BAJA CALIFORNIA; C.P. 21380, MEX.</t>
        </is>
      </c>
      <c r="M93" s="4" t="inlineStr">
        <is>
          <t>A6791</t>
        </is>
      </c>
      <c r="N93" s="4" t="inlineStr">
        <is>
          <t>OK - Corresponde a la OC #1 (ID: 151803) por monto exacto.</t>
        </is>
      </c>
    </row>
    <row r="94">
      <c r="A94" s="4" t="inlineStr">
        <is>
          <t>✅ OK</t>
        </is>
      </c>
      <c r="B94" s="4" t="n">
        <v>128</v>
      </c>
      <c r="C94" s="4" t="inlineStr">
        <is>
          <t>2025-11-19 20:57:22</t>
        </is>
      </c>
      <c r="D94" s="4" t="inlineStr">
        <is>
          <t>Sí</t>
        </is>
      </c>
      <c r="E94" s="4" t="n">
        <v>1</v>
      </c>
      <c r="F94" s="4" t="inlineStr">
        <is>
          <t>Sí</t>
        </is>
      </c>
      <c r="G94" s="5">
        <f>HYPERLINK("https://drive.google.com/file/d/1U4SiuMCDPwFjzvqVBaWzzi4K1D1NH4EM/view", "Ver PDF")</f>
        <v/>
      </c>
      <c r="H94" s="4" t="inlineStr">
        <is>
          <t>N/A</t>
        </is>
      </c>
      <c r="I94" s="4" t="inlineStr">
        <is>
          <t>GRANJAS AVICOS RANCHO GRANDE</t>
        </is>
      </c>
      <c r="J94" s="4" t="n">
        <v>450</v>
      </c>
      <c r="K94" s="4" t="inlineStr">
        <is>
          <t>MXN</t>
        </is>
      </c>
      <c r="L94" s="4" t="inlineStr">
        <is>
          <t>CAFÉ CACHANILLA</t>
        </is>
      </c>
      <c r="M94" s="4" t="inlineStr"/>
      <c r="N94" s="4" t="inlineStr">
        <is>
          <t>OK - Corresponde a la OC #1 (ID: 151815) por monto exacto.</t>
        </is>
      </c>
    </row>
    <row r="95">
      <c r="A95" s="2" t="inlineStr">
        <is>
          <t>⚠️ ANOMALÍA</t>
        </is>
      </c>
      <c r="B95" s="2" t="n">
        <v>129</v>
      </c>
      <c r="C95" s="2" t="inlineStr">
        <is>
          <t>2025-11-19 20:57:23</t>
        </is>
      </c>
      <c r="D95" s="2" t="inlineStr">
        <is>
          <t>Sí</t>
        </is>
      </c>
      <c r="E95" s="2" t="n">
        <v>1</v>
      </c>
      <c r="F95" s="2" t="inlineStr">
        <is>
          <t>Sí</t>
        </is>
      </c>
      <c r="G95" s="3">
        <f>HYPERLINK("https://drive.google.com/file/d/1evd4XFY1SGCHfx_hQm4weAYJrkn4pCwS/view", "Ver PDF")</f>
        <v/>
      </c>
      <c r="H95" s="2" t="inlineStr">
        <is>
          <t>⚠️ Discrepancias</t>
        </is>
      </c>
      <c r="I95" s="2" t="inlineStr">
        <is>
          <t>DISTRIBUIDORA ARCA CONTINENTAL</t>
        </is>
      </c>
      <c r="J95" s="2" t="n">
        <v>9003.450000000001</v>
      </c>
      <c r="K95" s="2" t="inlineStr">
        <is>
          <t>MXN</t>
        </is>
      </c>
      <c r="L95" s="2" t="inlineStr">
        <is>
          <t>ESMERALDA ESPINOZA RODRIGUEZ</t>
        </is>
      </c>
      <c r="M95" s="2" t="inlineStr">
        <is>
          <t>D9DEC459-0FF4-4892-B03C-CDC4C2DB7EB5</t>
        </is>
      </c>
      <c r="N95" s="2" t="inlineStr">
        <is>
          <t>DISCREPANCIA - El monto de la factura ($9,003.45) no coincide con ninguna OC individual ($9,723.72) ni con la suma total, ya que solo hay una OC disponible. Además, el proveedor de la OC tiene un nomb...</t>
        </is>
      </c>
    </row>
    <row r="96">
      <c r="A96" s="2" t="inlineStr">
        <is>
          <t>⚠️ ANOMALÍA</t>
        </is>
      </c>
      <c r="B96" s="2" t="n">
        <v>130</v>
      </c>
      <c r="C96" s="2" t="inlineStr">
        <is>
          <t>2025-11-19 20:57:24</t>
        </is>
      </c>
      <c r="D96" s="2" t="inlineStr">
        <is>
          <t>Sí</t>
        </is>
      </c>
      <c r="E96" s="2" t="n">
        <v>1</v>
      </c>
      <c r="F96" s="2" t="inlineStr">
        <is>
          <t>Sí</t>
        </is>
      </c>
      <c r="G96" s="3">
        <f>HYPERLINK("https://drive.google.com/file/d/1-qljAeAWihfiroI08q7FlFcCS3XmyYu5/view", "Ver PDF")</f>
        <v/>
      </c>
      <c r="H96" s="2" t="inlineStr">
        <is>
          <t>⚠️ Discrepancias</t>
        </is>
      </c>
      <c r="I96" s="2" t="inlineStr">
        <is>
          <t>DISTRIBUIDORA ARCA CONTINENTAL</t>
        </is>
      </c>
      <c r="J96" s="2" t="n">
        <v>2275.88</v>
      </c>
      <c r="K96" s="2" t="inlineStr">
        <is>
          <t>MXN</t>
        </is>
      </c>
      <c r="L96" s="2" t="inlineStr">
        <is>
          <t>EAT BURGER GALERIAS</t>
        </is>
      </c>
      <c r="M96" s="2" t="inlineStr">
        <is>
          <t>00688178-DDF0-47D5-BC90-88CA6E27ACC0</t>
        </is>
      </c>
      <c r="N96" s="2" t="inlineStr">
        <is>
          <t>DISCREPANCIA - El monto de la factura ($2,275.88) no coincide con ninguna OC individual ($2,457.95) ni con la suma total, ya que solo hay una OC disponible. Además, el proveedor de la OC tiene un nomb...</t>
        </is>
      </c>
    </row>
    <row r="97">
      <c r="A97" s="2" t="inlineStr">
        <is>
          <t>⚠️ ANOMALÍA</t>
        </is>
      </c>
      <c r="B97" s="2" t="n">
        <v>131</v>
      </c>
      <c r="C97" s="2" t="inlineStr">
        <is>
          <t>2025-11-19 20:57:25</t>
        </is>
      </c>
      <c r="D97" s="2" t="inlineStr">
        <is>
          <t>Sí</t>
        </is>
      </c>
      <c r="E97" s="2" t="n">
        <v>1</v>
      </c>
      <c r="F97" s="2" t="inlineStr">
        <is>
          <t>Sí</t>
        </is>
      </c>
      <c r="G97" s="3">
        <f>HYPERLINK("https://drive.google.com/file/d/12oBa4xb956-Nie_hgHWF74unc6s13FKk/view", "Ver PDF")</f>
        <v/>
      </c>
      <c r="H97" s="2" t="inlineStr">
        <is>
          <t>⚠️ Discrepancias</t>
        </is>
      </c>
      <c r="I97" s="2" t="inlineStr">
        <is>
          <t>DISTRIBUIDORA ARCA CONTINENTAL</t>
        </is>
      </c>
      <c r="J97" s="2" t="n">
        <v>7197.93</v>
      </c>
      <c r="K97" s="2" t="inlineStr">
        <is>
          <t>MXN</t>
        </is>
      </c>
      <c r="L97" s="2" t="inlineStr">
        <is>
          <t>ESMERALDA ESPINOZA RODRIGUEZ</t>
        </is>
      </c>
      <c r="M97" s="2" t="inlineStr">
        <is>
          <t>BDD08C2B-61F7-425A-8650-357AEEFD219D</t>
        </is>
      </c>
      <c r="N97" s="2" t="inlineStr">
        <is>
          <t>DISCREPANCIA - El monto de la factura ($7,197.93) no coincide con ninguna OC individual ni con la suma total ($7,773.76). Además, el proveedor es correcto, pero no hay coincidencia en el monto.</t>
        </is>
      </c>
    </row>
    <row r="98">
      <c r="A98" s="2" t="inlineStr">
        <is>
          <t>⚠️ ANOMALÍA</t>
        </is>
      </c>
      <c r="B98" s="2" t="n">
        <v>132</v>
      </c>
      <c r="C98" s="2" t="inlineStr">
        <is>
          <t>2025-11-19 20:57:25</t>
        </is>
      </c>
      <c r="D98" s="2" t="inlineStr">
        <is>
          <t>Sí</t>
        </is>
      </c>
      <c r="E98" s="2" t="n">
        <v>1</v>
      </c>
      <c r="F98" s="2" t="inlineStr">
        <is>
          <t>Sí</t>
        </is>
      </c>
      <c r="G98" s="3">
        <f>HYPERLINK("https://drive.google.com/file/d/1yf6JL9YZa1QJErQgl_RkPCAiCSSb3uIz/view", "Ver PDF")</f>
        <v/>
      </c>
      <c r="H98" s="2" t="inlineStr">
        <is>
          <t>⚠️ Discrepancias</t>
        </is>
      </c>
      <c r="I98" s="2" t="inlineStr">
        <is>
          <t>DISTRIBUIDORA ARCA CONTINENTAL</t>
        </is>
      </c>
      <c r="J98" s="2" t="n">
        <v>9010.030000000001</v>
      </c>
      <c r="K98" s="2" t="inlineStr">
        <is>
          <t>MXN</t>
        </is>
      </c>
      <c r="L98" s="2" t="inlineStr">
        <is>
          <t>JAVIER GONZALEZ HARO</t>
        </is>
      </c>
      <c r="M98" s="2" t="inlineStr">
        <is>
          <t>00001000000710052019</t>
        </is>
      </c>
      <c r="N98" s="2" t="inlineStr">
        <is>
          <t>DISCREPANCIA - El monto de la factura ($9,010.03) no coincide con ninguna OC individual ni con la suma total ($9,730.83). Además, el proveedor de la OC tiene un nombre ligeramente diferente al de la f...</t>
        </is>
      </c>
    </row>
    <row r="99">
      <c r="A99" s="2" t="inlineStr">
        <is>
          <t>⚠️ ANOMALÍA</t>
        </is>
      </c>
      <c r="B99" s="2" t="n">
        <v>133</v>
      </c>
      <c r="C99" s="2" t="inlineStr">
        <is>
          <t>2025-11-19 20:57:26</t>
        </is>
      </c>
      <c r="D99" s="2" t="inlineStr">
        <is>
          <t>Sí</t>
        </is>
      </c>
      <c r="E99" s="2" t="n">
        <v>1</v>
      </c>
      <c r="F99" s="2" t="inlineStr">
        <is>
          <t>Sí</t>
        </is>
      </c>
      <c r="G99" s="3">
        <f>HYPERLINK("https://drive.google.com/file/d/1nbabCNc98xou69DCnJ6pGV4fNnQfRPI-/view", "Ver PDF")</f>
        <v/>
      </c>
      <c r="H99" s="2" t="inlineStr">
        <is>
          <t>⚠️ Discrepancias</t>
        </is>
      </c>
      <c r="I99" s="2" t="inlineStr">
        <is>
          <t>DISTRIBUIDORA ARCA CONTINENTAL</t>
        </is>
      </c>
      <c r="J99" s="2" t="n">
        <v>7197.93</v>
      </c>
      <c r="K99" s="2" t="inlineStr">
        <is>
          <t>MXN</t>
        </is>
      </c>
      <c r="L99" s="2" t="inlineStr">
        <is>
          <t>CLAUDIA JANETH JAUREGUI FLORES</t>
        </is>
      </c>
      <c r="M99" s="2" t="inlineStr">
        <is>
          <t>5CEA1CA9-8FF5-4805-927A-4B906496588D</t>
        </is>
      </c>
      <c r="N99" s="2" t="inlineStr">
        <is>
          <t>DISCREPANCIA - El monto de la factura ($7,197.93) no coincide con ninguna OC individual ($7,773.76) ni con la suma total, ya que solo hay una OC disponible. Además, el proveedor de la OC tiene un nomb...</t>
        </is>
      </c>
    </row>
    <row r="100">
      <c r="A100" s="2" t="inlineStr">
        <is>
          <t>⚠️ ANOMALÍA</t>
        </is>
      </c>
      <c r="B100" s="2" t="n">
        <v>134</v>
      </c>
      <c r="C100" s="2" t="inlineStr">
        <is>
          <t>2025-11-19 20:57:27</t>
        </is>
      </c>
      <c r="D100" s="2" t="inlineStr">
        <is>
          <t>Sí</t>
        </is>
      </c>
      <c r="E100" s="2" t="n">
        <v>1</v>
      </c>
      <c r="F100" s="2" t="inlineStr">
        <is>
          <t>Sí</t>
        </is>
      </c>
      <c r="G100" s="3">
        <f>HYPERLINK("https://drive.google.com/file/d/1RSP8GVNe7wYJNLm16Rfrcb5uzUQi3Kq1/view", "Ver PDF")</f>
        <v/>
      </c>
      <c r="H100" s="2" t="inlineStr">
        <is>
          <t>⚠️ Discrepancias</t>
        </is>
      </c>
      <c r="I100" s="2" t="inlineStr">
        <is>
          <t>DISTRIBUIDORA ARCA CONTINENTAL</t>
        </is>
      </c>
      <c r="J100" s="2" t="n">
        <v>8100.91</v>
      </c>
      <c r="K100" s="2" t="inlineStr">
        <is>
          <t>MXN</t>
        </is>
      </c>
      <c r="L100" s="2" t="inlineStr">
        <is>
          <t>JAVIER GONZALEZ HARO</t>
        </is>
      </c>
      <c r="M100" s="2" t="inlineStr">
        <is>
          <t>339A2686-C64F-46A2-BAE4-9CE164386D75</t>
        </is>
      </c>
      <c r="N100" s="2" t="inlineStr">
        <is>
          <t>DISCREPANCIA - El monto de la factura ($8,100.91) no coincide con ninguna OC individual ($8,748.98) ni con la suma total (solo hay una OC). Además, el proveedor de la OC es ligeramente diferente al de...</t>
        </is>
      </c>
    </row>
    <row r="101">
      <c r="A101" s="2" t="inlineStr">
        <is>
          <t>⚠️ ANOMALÍA</t>
        </is>
      </c>
      <c r="B101" s="2" t="n">
        <v>135</v>
      </c>
      <c r="C101" s="2" t="inlineStr">
        <is>
          <t>2025-11-19 20:57:28</t>
        </is>
      </c>
      <c r="D101" s="2" t="inlineStr">
        <is>
          <t>Sí</t>
        </is>
      </c>
      <c r="E101" s="2" t="n">
        <v>1</v>
      </c>
      <c r="F101" s="2" t="inlineStr">
        <is>
          <t>Sí</t>
        </is>
      </c>
      <c r="G101" s="3">
        <f>HYPERLINK("https://drive.google.com/file/d/1Rq4ffS_iwsbqF1F4dCVuBj1V0EBtdE5s/view", "Ver PDF")</f>
        <v/>
      </c>
      <c r="H101" s="2" t="inlineStr">
        <is>
          <t>⚠️ Discrepancias</t>
        </is>
      </c>
      <c r="I101" s="2" t="inlineStr">
        <is>
          <t>DISTRIBUIDORA ARCA CONTINENTAL</t>
        </is>
      </c>
      <c r="J101" s="2" t="n">
        <v>10345.19</v>
      </c>
      <c r="K101" s="2" t="inlineStr">
        <is>
          <t>MXN</t>
        </is>
      </c>
      <c r="L101" s="2" t="inlineStr">
        <is>
          <t>JAVIER GONZALEZ HARO</t>
        </is>
      </c>
      <c r="M101" s="2" t="inlineStr">
        <is>
          <t>67604DC3-AF4E-43B2-B3AB-7A52E036881C</t>
        </is>
      </c>
      <c r="N101" s="2" t="inlineStr">
        <is>
          <t>DISCREPANCIA - El monto de la factura ($10,345.19) no coincide con ninguna OC individual ($11,172.80) ni con la suma total, ya que solo hay una OC disponible. Además, el proveedor de la OC tiene un no...</t>
        </is>
      </c>
    </row>
    <row r="102">
      <c r="A102" s="2" t="inlineStr">
        <is>
          <t>⚠️ ANOMALÍA</t>
        </is>
      </c>
      <c r="B102" s="2" t="n">
        <v>136</v>
      </c>
      <c r="C102" s="2" t="inlineStr">
        <is>
          <t>2025-11-19 20:57:29</t>
        </is>
      </c>
      <c r="D102" s="2" t="inlineStr">
        <is>
          <t>Sí</t>
        </is>
      </c>
      <c r="E102" s="2" t="n">
        <v>1</v>
      </c>
      <c r="F102" s="2" t="inlineStr">
        <is>
          <t>Sí</t>
        </is>
      </c>
      <c r="G102" s="3">
        <f>HYPERLINK("https://drive.google.com/file/d/1msdGeSa3osMaq9v_fnbyEyPsMCTsLscG/view", "Ver PDF")</f>
        <v/>
      </c>
      <c r="H102" s="2" t="inlineStr">
        <is>
          <t>⚠️ Discrepancias</t>
        </is>
      </c>
      <c r="I102" s="2" t="inlineStr">
        <is>
          <t>DISTRIBUIDORA ARCA CONTINENTAL</t>
        </is>
      </c>
      <c r="J102" s="2" t="n">
        <v>14834.84</v>
      </c>
      <c r="K102" s="2" t="inlineStr">
        <is>
          <t>MXN</t>
        </is>
      </c>
      <c r="L102" s="2" t="inlineStr">
        <is>
          <t>ESMERALDA ESPINOZA RODRIGUEZ</t>
        </is>
      </c>
      <c r="M102" s="2" t="inlineStr">
        <is>
          <t>D00E7B21-8FF9-4AE3-B62E-047A8B7D0FBE</t>
        </is>
      </c>
      <c r="N102" s="2" t="inlineStr">
        <is>
          <t>DISCREPANCIA - El monto de la factura ($14,834.84) no coincide con ninguna OC individual ($16,021.63) ni con la suma total, ya que solo hay una OC disponible. Además, el proveedor de la OC tiene un no...</t>
        </is>
      </c>
    </row>
    <row r="103">
      <c r="A103" s="2" t="inlineStr">
        <is>
          <t>⚠️ ANOMALÍA</t>
        </is>
      </c>
      <c r="B103" s="2" t="n">
        <v>137</v>
      </c>
      <c r="C103" s="2" t="inlineStr">
        <is>
          <t>2025-11-19 20:57:30</t>
        </is>
      </c>
      <c r="D103" s="2" t="inlineStr">
        <is>
          <t>Sí</t>
        </is>
      </c>
      <c r="E103" s="2" t="n">
        <v>1</v>
      </c>
      <c r="F103" s="2" t="inlineStr">
        <is>
          <t>Sí</t>
        </is>
      </c>
      <c r="G103" s="3">
        <f>HYPERLINK("https://drive.google.com/file/d/1l-OrJ7hKgLn-ULkdlvh2T3PEC4M1i0XA/view", "Ver PDF")</f>
        <v/>
      </c>
      <c r="H103" s="2" t="inlineStr">
        <is>
          <t>⚠️ Discrepancias</t>
        </is>
      </c>
      <c r="I103" s="2" t="inlineStr">
        <is>
          <t>DISTRIBUIDORA ARCA CONTINENTAL</t>
        </is>
      </c>
      <c r="J103" s="2" t="n">
        <v>7667.85</v>
      </c>
      <c r="K103" s="2" t="inlineStr">
        <is>
          <t>MXN</t>
        </is>
      </c>
      <c r="L103" s="2" t="inlineStr">
        <is>
          <t>EAT BURGER GALERIAS</t>
        </is>
      </c>
      <c r="M103" s="2" t="inlineStr">
        <is>
          <t>04C922C5-20EB-4283-A2BC-EA192228B436</t>
        </is>
      </c>
      <c r="N103" s="2" t="inlineStr">
        <is>
          <t>DISCREPANCIA - El monto de la factura ($7,667.85) no coincide con ninguna OC individual ni con la suma total ($8,281.27). Además, el proveedor es correcto, pero no hay coincidencia en el monto.</t>
        </is>
      </c>
    </row>
    <row r="104">
      <c r="A104" s="2" t="inlineStr">
        <is>
          <t>⚠️ ANOMALÍA</t>
        </is>
      </c>
      <c r="B104" s="2" t="n">
        <v>138</v>
      </c>
      <c r="C104" s="2" t="inlineStr">
        <is>
          <t>2025-11-19 20:57:31</t>
        </is>
      </c>
      <c r="D104" s="2" t="inlineStr">
        <is>
          <t>Sí</t>
        </is>
      </c>
      <c r="E104" s="2" t="n">
        <v>1</v>
      </c>
      <c r="F104" s="2" t="inlineStr">
        <is>
          <t>Sí</t>
        </is>
      </c>
      <c r="G104" s="3">
        <f>HYPERLINK("https://drive.google.com/file/d/1tklOjDwl1rxMSDs3Xv1w4SFuxqheUN-a/view", "Ver PDF")</f>
        <v/>
      </c>
      <c r="H104" s="2" t="inlineStr">
        <is>
          <t>⚠️ Discrepancias</t>
        </is>
      </c>
      <c r="I104" s="2" t="inlineStr">
        <is>
          <t>DISTRIBUIDORA ARCA CONTINENTAL</t>
        </is>
      </c>
      <c r="J104" s="2" t="n">
        <v>10815.55</v>
      </c>
      <c r="K104" s="2" t="inlineStr">
        <is>
          <t>MXN</t>
        </is>
      </c>
      <c r="L104" s="2" t="inlineStr">
        <is>
          <t>ESMERALDA ESPINOZA RODRIGUEZ</t>
        </is>
      </c>
      <c r="M104" s="2" t="inlineStr">
        <is>
          <t>F3873C70-AEA2-4D22-BC2F-233E3D4C0E67</t>
        </is>
      </c>
      <c r="N104" s="2" t="inlineStr">
        <is>
          <t>DISCREPANCIA - El monto de la factura ($10,815.55) no coincide con ninguna OC individual ($11,680.79) ni con la suma total (solo hay una OC). Además, el proveedor de la OC tiene un nombre ligeramente ...</t>
        </is>
      </c>
    </row>
    <row r="105">
      <c r="A105" s="2" t="inlineStr">
        <is>
          <t>⚠️ ANOMALÍA</t>
        </is>
      </c>
      <c r="B105" s="2" t="n">
        <v>139</v>
      </c>
      <c r="C105" s="2" t="inlineStr">
        <is>
          <t>2025-11-19 20:57:32</t>
        </is>
      </c>
      <c r="D105" s="2" t="inlineStr">
        <is>
          <t>Sí</t>
        </is>
      </c>
      <c r="E105" s="2" t="n">
        <v>1</v>
      </c>
      <c r="F105" s="2" t="inlineStr">
        <is>
          <t>Sí</t>
        </is>
      </c>
      <c r="G105" s="3">
        <f>HYPERLINK("https://drive.google.com/file/d/1GXOUOcND9-CKHQYp0GbjT6ovw0M2q8H3/view", "Ver PDF")</f>
        <v/>
      </c>
      <c r="H105" s="2" t="inlineStr">
        <is>
          <t>⚠️ Discrepancias</t>
        </is>
      </c>
      <c r="I105" s="2" t="inlineStr">
        <is>
          <t>DISTRIBUIDORA ARCA CONTINENTAL</t>
        </is>
      </c>
      <c r="J105" s="2" t="n">
        <v>10345.19</v>
      </c>
      <c r="K105" s="2" t="inlineStr">
        <is>
          <t>MXN</t>
        </is>
      </c>
      <c r="L105" s="2" t="inlineStr">
        <is>
          <t>JAVIER GONZALEZ HARO</t>
        </is>
      </c>
      <c r="M105" s="2" t="inlineStr">
        <is>
          <t>00001000000710052019</t>
        </is>
      </c>
      <c r="N105" s="2" t="inlineStr">
        <is>
          <t>DISCREPANCIA - El monto de la factura ($10,345.19) no coincide con ninguna OC individual ($11,172.80) ni con la suma total, ya que solo hay una OC disponible. Además, el proveedor de la OC tiene un no...</t>
        </is>
      </c>
    </row>
    <row r="106">
      <c r="A106" s="2" t="inlineStr">
        <is>
          <t>⚠️ ANOMALÍA</t>
        </is>
      </c>
      <c r="B106" s="2" t="n">
        <v>140</v>
      </c>
      <c r="C106" s="2" t="inlineStr">
        <is>
          <t>2025-11-19 20:57:33</t>
        </is>
      </c>
      <c r="D106" s="2" t="inlineStr">
        <is>
          <t>Sí</t>
        </is>
      </c>
      <c r="E106" s="2" t="n">
        <v>1</v>
      </c>
      <c r="F106" s="2" t="inlineStr">
        <is>
          <t>Sí</t>
        </is>
      </c>
      <c r="G106" s="3">
        <f>HYPERLINK("https://drive.google.com/file/d/1DkjW3BFhwbnccgKFZ98YcZCIf_uyOWQE/view", "Ver PDF")</f>
        <v/>
      </c>
      <c r="H106" s="2" t="inlineStr">
        <is>
          <t>⚠️ Discrepancias</t>
        </is>
      </c>
      <c r="I106" s="2" t="inlineStr">
        <is>
          <t>DISTRIBUIDORA ARCA CONTINENTAL</t>
        </is>
      </c>
      <c r="J106" s="2" t="n">
        <v>6295.17</v>
      </c>
      <c r="K106" s="2" t="inlineStr">
        <is>
          <t>MXN</t>
        </is>
      </c>
      <c r="L106" s="2" t="inlineStr">
        <is>
          <t>CLÁUDIA JANETH JAUREGUI FLORES</t>
        </is>
      </c>
      <c r="M106" s="2" t="inlineStr">
        <is>
          <t>FEEC8C78-7C00-4C76-96C2-DA156DC0A8E6</t>
        </is>
      </c>
      <c r="N106" s="2" t="inlineStr">
        <is>
          <t>DISCREPANCIA - El monto de la factura ($6,295.17) no coincide con ninguna OC individual ni con la suma total ($6,798.78). Además, el proveedor es correcto, pero no hay coincidencia en el monto.</t>
        </is>
      </c>
    </row>
    <row r="107">
      <c r="A107" s="2" t="inlineStr">
        <is>
          <t>⚠️ ANOMALÍA</t>
        </is>
      </c>
      <c r="B107" s="2" t="n">
        <v>141</v>
      </c>
      <c r="C107" s="2" t="inlineStr">
        <is>
          <t>2025-11-19 20:57:34</t>
        </is>
      </c>
      <c r="D107" s="2" t="inlineStr">
        <is>
          <t>Sí</t>
        </is>
      </c>
      <c r="E107" s="2" t="n">
        <v>1</v>
      </c>
      <c r="F107" s="2" t="inlineStr">
        <is>
          <t>Sí</t>
        </is>
      </c>
      <c r="G107" s="3">
        <f>HYPERLINK("https://drive.google.com/file/d/12J7FfyvJ-y9Lexx6aWP6cckBRV3CEgRm/view", "Ver PDF")</f>
        <v/>
      </c>
      <c r="H107" s="2" t="inlineStr">
        <is>
          <t>⚠️ Discrepancias</t>
        </is>
      </c>
      <c r="I107" s="2" t="inlineStr">
        <is>
          <t>DISTRIBUIDORA ARCA CONTINENTAL</t>
        </is>
      </c>
      <c r="J107" s="2" t="n">
        <v>12872.3</v>
      </c>
      <c r="K107" s="2" t="inlineStr">
        <is>
          <t>MXN</t>
        </is>
      </c>
      <c r="L107" s="2" t="inlineStr">
        <is>
          <t>CAFE CACHANILLA</t>
        </is>
      </c>
      <c r="M107" s="2" t="inlineStr">
        <is>
          <t>FE108845-8DC2-4D6D-A9A0-4BCADC575060</t>
        </is>
      </c>
      <c r="N107" s="2" t="inlineStr">
        <is>
          <t>DISCREPANCIA - El monto de la factura ($12,872.30) no coincide con ninguna OC individual ($13,597.59) ni con la suma total, ya que solo hay una OC disponible. Además, el proveedor coincide, pero el mo...</t>
        </is>
      </c>
    </row>
    <row r="108">
      <c r="A108" s="2" t="inlineStr">
        <is>
          <t>⚠️ ANOMALÍA</t>
        </is>
      </c>
      <c r="B108" s="2" t="n">
        <v>142</v>
      </c>
      <c r="C108" s="2" t="inlineStr">
        <is>
          <t>2025-11-19 20:57:35</t>
        </is>
      </c>
      <c r="D108" s="2" t="inlineStr">
        <is>
          <t>No</t>
        </is>
      </c>
      <c r="E108" s="2" t="n">
        <v>0</v>
      </c>
      <c r="F108" s="2" t="inlineStr">
        <is>
          <t>Sí</t>
        </is>
      </c>
      <c r="G108" s="3">
        <f>HYPERLINK("https://drive.google.com/file/d/11fLHJKANhwQLmJCvxyymHSyBC3qzW_jf/view", "Ver PDF")</f>
        <v/>
      </c>
      <c r="H108" s="2" t="inlineStr">
        <is>
          <t>⚠️ Sin OC</t>
        </is>
      </c>
      <c r="I108" s="2" t="inlineStr">
        <is>
          <t>N/A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/>
    </row>
    <row r="109">
      <c r="A109" s="2" t="inlineStr">
        <is>
          <t>⚠️ ANOMALÍA</t>
        </is>
      </c>
      <c r="B109" s="2" t="n">
        <v>143</v>
      </c>
      <c r="C109" s="2" t="inlineStr">
        <is>
          <t>2025-11-19 20:57:37</t>
        </is>
      </c>
      <c r="D109" s="2" t="inlineStr">
        <is>
          <t>Sí</t>
        </is>
      </c>
      <c r="E109" s="2" t="n">
        <v>1</v>
      </c>
      <c r="F109" s="2" t="inlineStr">
        <is>
          <t>Sí</t>
        </is>
      </c>
      <c r="G109" s="3">
        <f>HYPERLINK("https://drive.google.com/file/d/1Il2PFgG5SpxNeK3_m_rQTzXqxC9vBZAG/view", "Ver PDF")</f>
        <v/>
      </c>
      <c r="H109" s="2" t="inlineStr">
        <is>
          <t>⚠️ Discrepancias</t>
        </is>
      </c>
      <c r="I109" s="2" t="inlineStr">
        <is>
          <t>KITCHEN HOUSE</t>
        </is>
      </c>
      <c r="J109" s="2" t="n">
        <v>3900</v>
      </c>
      <c r="K109" s="2" t="inlineStr">
        <is>
          <t>MXN</t>
        </is>
      </c>
      <c r="L109" s="2" t="inlineStr">
        <is>
          <t>CAFÉ CACHANILLA</t>
        </is>
      </c>
      <c r="M109" s="2" t="inlineStr">
        <is>
          <t>NOV-45</t>
        </is>
      </c>
      <c r="N109" s="2" t="inlineStr">
        <is>
          <t>DISCREPANCIA - El monto de la factura ($3,900.00) coincide con la OC #1, pero el proveedor es diferente (Factura: KITCHEN HOUSE, OC: LUIS ALEJANDRO FLORES AGUILAR).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108</v>
      </c>
    </row>
    <row r="3">
      <c r="A3" t="inlineStr">
        <is>
          <t>Registros Correctos</t>
        </is>
      </c>
      <c r="B3" t="n">
        <v>56</v>
      </c>
    </row>
    <row r="4">
      <c r="A4" t="inlineStr">
        <is>
          <t>Total de Anomalías</t>
        </is>
      </c>
      <c r="B4" t="n">
        <v>52</v>
      </c>
    </row>
    <row r="5">
      <c r="A5" t="inlineStr">
        <is>
          <t>Porcentaje de Correctos</t>
        </is>
      </c>
      <c r="B5" t="inlineStr">
        <is>
          <t>51.9%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Discrepancias</t>
        </is>
      </c>
      <c r="B8" t="n">
        <v>24</v>
      </c>
    </row>
    <row r="9">
      <c r="A9" t="inlineStr">
        <is>
          <t>⚠️ Sin OC</t>
        </is>
      </c>
      <c r="B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2025-11-19T21:26:07Z</dcterms:created>
  <dcterms:modified xsi:type="dcterms:W3CDTF">2025-11-19T21:26:07Z</dcterms:modified>
</cp:coreProperties>
</file>