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60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44</v>
      </c>
      <c r="C2" s="2" t="inlineStr">
        <is>
          <t>2025-11-19 18:25:12</t>
        </is>
      </c>
      <c r="D2" s="2" t="inlineStr">
        <is>
          <t>No</t>
        </is>
      </c>
      <c r="E2" s="2" t="n">
        <v>0</v>
      </c>
      <c r="F2" s="2" t="inlineStr">
        <is>
          <t>Sí</t>
        </is>
      </c>
      <c r="G2" s="3">
        <f>HYPERLINK("https://drive.google.com/file/d/1ye0mHObowssm2AKoFKVkzI_tSMvy63-O/view", "Ver PDF")</f>
        <v/>
      </c>
      <c r="H2" s="2" t="inlineStr">
        <is>
          <t>⚠️ Sin OC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/>
    </row>
    <row r="3">
      <c r="A3" s="2" t="inlineStr">
        <is>
          <t>⚠️ ANOMALÍA</t>
        </is>
      </c>
      <c r="B3" s="2" t="n">
        <v>45</v>
      </c>
      <c r="C3" s="2" t="inlineStr">
        <is>
          <t>2025-11-19 18:25:13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3">
        <f>HYPERLINK("https://drive.google.com/file/d/1CsGhly4vAEz7M3-CM4iLmKIeYfdQolUt/view", "Ver PDF")</f>
        <v/>
      </c>
      <c r="H3" s="2" t="inlineStr">
        <is>
          <t>⚠️ Discrepancias</t>
        </is>
      </c>
      <c r="I3" s="2" t="inlineStr"/>
      <c r="J3" s="2" t="n">
        <v>0</v>
      </c>
      <c r="K3" s="2" t="inlineStr"/>
      <c r="L3" s="2" t="inlineStr"/>
      <c r="M3" s="2" t="inlineStr"/>
      <c r="N3" s="2" t="inlineStr">
        <is>
          <t>DISCREPANCIA - El monto de la factura ($0.00) no coincide con ninguna OC individual ni con la suma total ($1,240.00 MXN). Además, el proveedor de la factura es "None", lo que no coincide con el provee...</t>
        </is>
      </c>
    </row>
    <row r="4">
      <c r="A4" s="2" t="inlineStr">
        <is>
          <t>⚠️ ANOMALÍA</t>
        </is>
      </c>
      <c r="B4" s="2" t="n">
        <v>46</v>
      </c>
      <c r="C4" s="2" t="inlineStr">
        <is>
          <t>2025-11-19 18:25:15</t>
        </is>
      </c>
      <c r="D4" s="2" t="inlineStr">
        <is>
          <t>Sí</t>
        </is>
      </c>
      <c r="E4" s="2" t="n">
        <v>1</v>
      </c>
      <c r="F4" s="2" t="inlineStr">
        <is>
          <t>Sí</t>
        </is>
      </c>
      <c r="G4" s="3">
        <f>HYPERLINK("https://drive.google.com/file/d/1INgYd8ciMvyF9kUxV33XkSAgwJhz6Rfa/view", "Ver PDF")</f>
        <v/>
      </c>
      <c r="H4" s="2" t="inlineStr">
        <is>
          <t>⚠️ Discrepancias</t>
        </is>
      </c>
      <c r="I4" s="2" t="inlineStr"/>
      <c r="J4" s="2" t="n">
        <v>0</v>
      </c>
      <c r="K4" s="2" t="inlineStr"/>
      <c r="L4" s="2" t="inlineStr"/>
      <c r="M4" s="2" t="inlineStr"/>
      <c r="N4" s="2" t="inlineStr">
        <is>
          <t>DISCREPANCIA - El monto de la factura ($0.00) no coincide con ninguna OC individual ni con la suma total ($725.85). Además, el proveedor de la factura es "None", lo que no coincide con el proveedor de...</t>
        </is>
      </c>
    </row>
    <row r="5">
      <c r="A5" s="2" t="inlineStr">
        <is>
          <t>⚠️ ANOMALÍA</t>
        </is>
      </c>
      <c r="B5" s="2" t="n">
        <v>47</v>
      </c>
      <c r="C5" s="2" t="inlineStr">
        <is>
          <t>2025-11-19 18:25:16</t>
        </is>
      </c>
      <c r="D5" s="2" t="inlineStr">
        <is>
          <t>Sí</t>
        </is>
      </c>
      <c r="E5" s="2" t="n">
        <v>1</v>
      </c>
      <c r="F5" s="2" t="inlineStr">
        <is>
          <t>Sí</t>
        </is>
      </c>
      <c r="G5" s="3">
        <f>HYPERLINK("https://drive.google.com/file/d/1GxLjQNKoWviQGmmwCdkAs0oMpQbJCcgu/view", "Ver PDF")</f>
        <v/>
      </c>
      <c r="H5" s="2" t="inlineStr">
        <is>
          <t>⚠️ Discrepancias</t>
        </is>
      </c>
      <c r="I5" s="2" t="inlineStr"/>
      <c r="J5" s="2" t="n">
        <v>0</v>
      </c>
      <c r="K5" s="2" t="inlineStr"/>
      <c r="L5" s="2" t="inlineStr"/>
      <c r="M5" s="2" t="inlineStr"/>
      <c r="N5" s="2" t="inlineStr">
        <is>
          <t>DISCREPANCIA - El monto de la factura ($0.00) no coincide con ninguna OC individual ni con la suma total ($3,442.50 MXN). Además, el proveedor de la factura es "None", lo que no coincide con el provee...</t>
        </is>
      </c>
    </row>
    <row r="6">
      <c r="A6" s="2" t="inlineStr">
        <is>
          <t>⚠️ ANOMALÍA</t>
        </is>
      </c>
      <c r="B6" s="2" t="n">
        <v>48</v>
      </c>
      <c r="C6" s="2" t="inlineStr">
        <is>
          <t>2025-11-19 18:25:18</t>
        </is>
      </c>
      <c r="D6" s="2" t="inlineStr">
        <is>
          <t>Sí</t>
        </is>
      </c>
      <c r="E6" s="2" t="n">
        <v>1</v>
      </c>
      <c r="F6" s="2" t="inlineStr">
        <is>
          <t>Sí</t>
        </is>
      </c>
      <c r="G6" s="3">
        <f>HYPERLINK("https://drive.google.com/file/d/1BBL8Qru2XQpHM78y1_iD8lJxaOwSJWlV/view", "Ver PDF")</f>
        <v/>
      </c>
      <c r="H6" s="2" t="inlineStr">
        <is>
          <t>⚠️ Discrepancias</t>
        </is>
      </c>
      <c r="I6" s="2" t="inlineStr"/>
      <c r="J6" s="2" t="n">
        <v>0</v>
      </c>
      <c r="K6" s="2" t="inlineStr"/>
      <c r="L6" s="2" t="inlineStr"/>
      <c r="M6" s="2" t="inlineStr"/>
      <c r="N6" s="2" t="inlineStr">
        <is>
          <t>DISCREPANCIA - El monto de la factura ($0.00) no coincide con ninguna OC individual ni con la suma total ($23,706.00 MXN). Además, el proveedor de la factura es "None", lo que no permite una comparaci...</t>
        </is>
      </c>
    </row>
    <row r="7">
      <c r="A7" s="2" t="inlineStr">
        <is>
          <t>⚠️ ANOMALÍA</t>
        </is>
      </c>
      <c r="B7" s="2" t="n">
        <v>49</v>
      </c>
      <c r="C7" s="2" t="inlineStr">
        <is>
          <t>2025-11-19 18:25:19</t>
        </is>
      </c>
      <c r="D7" s="2" t="inlineStr">
        <is>
          <t>Sí</t>
        </is>
      </c>
      <c r="E7" s="2" t="n">
        <v>1</v>
      </c>
      <c r="F7" s="2" t="inlineStr">
        <is>
          <t>Sí</t>
        </is>
      </c>
      <c r="G7" s="3">
        <f>HYPERLINK("https://drive.google.com/file/d/1_TY7Fp3DursXvpgPHsqvisKbS9uvSBBm/view", "Ver PDF")</f>
        <v/>
      </c>
      <c r="H7" s="2" t="inlineStr">
        <is>
          <t>⚠️ Discrepancias</t>
        </is>
      </c>
      <c r="I7" s="2" t="inlineStr"/>
      <c r="J7" s="2" t="n">
        <v>0</v>
      </c>
      <c r="K7" s="2" t="inlineStr"/>
      <c r="L7" s="2" t="inlineStr"/>
      <c r="M7" s="2" t="inlineStr"/>
      <c r="N7" s="2" t="inlineStr">
        <is>
          <t>DISCREPANCIA - El monto de la factura ($0.00) no coincide con ninguna OC individual ni con la suma total ($1,015.79). Además, el proveedor de la factura es "None", lo que no coincide con el proveedor ...</t>
        </is>
      </c>
    </row>
    <row r="8">
      <c r="A8" s="2" t="inlineStr">
        <is>
          <t>⚠️ ANOMALÍA</t>
        </is>
      </c>
      <c r="B8" s="2" t="n">
        <v>50</v>
      </c>
      <c r="C8" s="2" t="inlineStr">
        <is>
          <t>2025-11-19 18:25:22</t>
        </is>
      </c>
      <c r="D8" s="2" t="inlineStr">
        <is>
          <t>Sí</t>
        </is>
      </c>
      <c r="E8" s="2" t="n">
        <v>1</v>
      </c>
      <c r="F8" s="2" t="inlineStr">
        <is>
          <t>Sí</t>
        </is>
      </c>
      <c r="G8" s="3">
        <f>HYPERLINK("https://drive.google.com/file/d/1X9MhlDoAwhTqPwan62AZkbF7jzypwL-x/view", "Ver PDF")</f>
        <v/>
      </c>
      <c r="H8" s="2" t="inlineStr">
        <is>
          <t>⚠️ Discrepancias</t>
        </is>
      </c>
      <c r="I8" s="2" t="inlineStr"/>
      <c r="J8" s="2" t="n">
        <v>0</v>
      </c>
      <c r="K8" s="2" t="inlineStr"/>
      <c r="L8" s="2" t="inlineStr"/>
      <c r="M8" s="2" t="inlineStr"/>
      <c r="N8" s="2" t="inlineStr">
        <is>
          <t>DISCREPANCIA - El monto de la factura ($0.00) no coincide con ninguna OC individual ni con la suma total ($2,700.00). Además, el proveedor de la factura es "None", lo que no permite una comparación vá...</t>
        </is>
      </c>
    </row>
    <row r="9">
      <c r="A9" s="2" t="inlineStr">
        <is>
          <t>⚠️ ANOMALÍA</t>
        </is>
      </c>
      <c r="B9" s="2" t="n">
        <v>51</v>
      </c>
      <c r="C9" s="2" t="inlineStr">
        <is>
          <t>2025-11-19 18:25:23</t>
        </is>
      </c>
      <c r="D9" s="2" t="inlineStr">
        <is>
          <t>Sí</t>
        </is>
      </c>
      <c r="E9" s="2" t="n">
        <v>1</v>
      </c>
      <c r="F9" s="2" t="inlineStr">
        <is>
          <t>Sí</t>
        </is>
      </c>
      <c r="G9" s="3">
        <f>HYPERLINK("https://drive.google.com/file/d/1ZZ0vzIwf0ivyVh423fyG-j28f0ffpH-9/view", "Ver PDF")</f>
        <v/>
      </c>
      <c r="H9" s="2" t="inlineStr">
        <is>
          <t>⚠️ Discrepancias</t>
        </is>
      </c>
      <c r="I9" s="2" t="inlineStr"/>
      <c r="J9" s="2" t="n">
        <v>0</v>
      </c>
      <c r="K9" s="2" t="inlineStr"/>
      <c r="L9" s="2" t="inlineStr"/>
      <c r="M9" s="2" t="inlineStr"/>
      <c r="N9" s="2" t="inlineStr">
        <is>
          <t>DISCREPANCIA - El monto de la factura ($0.00) no coincide con ninguna OC individual ni con la suma total ($1,166.40). Además, el proveedor de la factura es "None", lo que no permite un emparejamiento ...</t>
        </is>
      </c>
    </row>
    <row r="10">
      <c r="A10" s="2" t="inlineStr">
        <is>
          <t>⚠️ ANOMALÍA</t>
        </is>
      </c>
      <c r="B10" s="2" t="n">
        <v>52</v>
      </c>
      <c r="C10" s="2" t="inlineStr">
        <is>
          <t>2025-11-19 18:25:24</t>
        </is>
      </c>
      <c r="D10" s="2" t="inlineStr">
        <is>
          <t>No</t>
        </is>
      </c>
      <c r="E10" s="2" t="n">
        <v>0</v>
      </c>
      <c r="F10" s="2" t="inlineStr">
        <is>
          <t>Sí</t>
        </is>
      </c>
      <c r="G10" s="3">
        <f>HYPERLINK("https://drive.google.com/file/d/15eo4bjVbZtfUivX_HOBCuZY2StjxErGA/view", "Ver PDF")</f>
        <v/>
      </c>
      <c r="H10" s="2" t="inlineStr">
        <is>
          <t>⚠️ Sin OC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/>
    </row>
    <row r="11">
      <c r="A11" s="2" t="inlineStr">
        <is>
          <t>⚠️ ANOMALÍA</t>
        </is>
      </c>
      <c r="B11" s="2" t="n">
        <v>53</v>
      </c>
      <c r="C11" s="2" t="inlineStr">
        <is>
          <t>2025-11-19 18:25:25</t>
        </is>
      </c>
      <c r="D11" s="2" t="inlineStr">
        <is>
          <t>No</t>
        </is>
      </c>
      <c r="E11" s="2" t="n">
        <v>0</v>
      </c>
      <c r="F11" s="2" t="inlineStr">
        <is>
          <t>Sí</t>
        </is>
      </c>
      <c r="G11" s="3">
        <f>HYPERLINK("https://drive.google.com/file/d/1mDDzPkod2vfn07hQCMVnPA9hSI7pF5QW/view", "Ver PDF")</f>
        <v/>
      </c>
      <c r="H11" s="2" t="inlineStr">
        <is>
          <t>⚠️ Sin OC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/>
    </row>
    <row r="12">
      <c r="A12" s="2" t="inlineStr">
        <is>
          <t>⚠️ ANOMALÍA</t>
        </is>
      </c>
      <c r="B12" s="2" t="n">
        <v>54</v>
      </c>
      <c r="C12" s="2" t="inlineStr">
        <is>
          <t>2025-11-19 18:26:54</t>
        </is>
      </c>
      <c r="D12" s="2" t="inlineStr">
        <is>
          <t>Sí</t>
        </is>
      </c>
      <c r="E12" s="2" t="n">
        <v>1</v>
      </c>
      <c r="F12" s="2" t="inlineStr">
        <is>
          <t>Sí</t>
        </is>
      </c>
      <c r="G12" s="3">
        <f>HYPERLINK("https://drive.google.com/file/d/1j2A-TqxRjXL0ak2AROiYJPDOQWTWC4xi/view", "Ver PDF")</f>
        <v/>
      </c>
      <c r="H12" s="2" t="inlineStr">
        <is>
          <t>⚠️ Discrepancias</t>
        </is>
      </c>
      <c r="I12" s="2" t="inlineStr"/>
      <c r="J12" s="2" t="n">
        <v>0</v>
      </c>
      <c r="K12" s="2" t="inlineStr"/>
      <c r="L12" s="2" t="inlineStr"/>
      <c r="M12" s="2" t="inlineStr"/>
      <c r="N12" s="2" t="inlineStr">
        <is>
          <t>DISCREPANCIA - El monto de la factura ($0.00) no coincide con ninguna OC individual ni con la suma total ($2,639.59 MXN). Además, el proveedor de la factura es "None", lo que no coincide con el provee...</t>
        </is>
      </c>
    </row>
    <row r="13">
      <c r="A13" s="2" t="inlineStr">
        <is>
          <t>⚠️ ANOMALÍA</t>
        </is>
      </c>
      <c r="B13" s="2" t="n">
        <v>55</v>
      </c>
      <c r="C13" s="2" t="inlineStr">
        <is>
          <t>2025-11-19 18:26:55</t>
        </is>
      </c>
      <c r="D13" s="2" t="inlineStr">
        <is>
          <t>Sí</t>
        </is>
      </c>
      <c r="E13" s="2" t="n">
        <v>1</v>
      </c>
      <c r="F13" s="2" t="inlineStr">
        <is>
          <t>Sí</t>
        </is>
      </c>
      <c r="G13" s="3">
        <f>HYPERLINK("https://drive.google.com/file/d/19S2JO4wBm_EnxpSBBwMlHZyEmy2eGrcP/view", "Ver PDF")</f>
        <v/>
      </c>
      <c r="H13" s="2" t="inlineStr">
        <is>
          <t>⚠️ Discrepancias</t>
        </is>
      </c>
      <c r="I13" s="2" t="inlineStr"/>
      <c r="J13" s="2" t="n">
        <v>0</v>
      </c>
      <c r="K13" s="2" t="inlineStr"/>
      <c r="L13" s="2" t="inlineStr"/>
      <c r="M13" s="2" t="inlineStr"/>
      <c r="N13" s="2" t="inlineStr">
        <is>
          <t>DISCREPANCIA - El monto de la factura ($0.00) no coincide con ninguna OC individual ni con la suma total ($2,932.87). Además, el proveedor de la factura es "None", lo que no coincide con el proveedor ...</t>
        </is>
      </c>
    </row>
    <row r="14">
      <c r="A14" s="2" t="inlineStr">
        <is>
          <t>⚠️ ANOMALÍA</t>
        </is>
      </c>
      <c r="B14" s="2" t="n">
        <v>56</v>
      </c>
      <c r="C14" s="2" t="inlineStr">
        <is>
          <t>2025-11-19 18:26:57</t>
        </is>
      </c>
      <c r="D14" s="2" t="inlineStr">
        <is>
          <t>Sí</t>
        </is>
      </c>
      <c r="E14" s="2" t="n">
        <v>1</v>
      </c>
      <c r="F14" s="2" t="inlineStr">
        <is>
          <t>Sí</t>
        </is>
      </c>
      <c r="G14" s="3">
        <f>HYPERLINK("https://drive.google.com/file/d/1FLM_8rwrjIhn7EDFX86IgQkk6MlPXAQ_/view", "Ver PDF")</f>
        <v/>
      </c>
      <c r="H14" s="2" t="inlineStr">
        <is>
          <t>⚠️ Discrepancias</t>
        </is>
      </c>
      <c r="I14" s="2" t="inlineStr"/>
      <c r="J14" s="2" t="n">
        <v>0</v>
      </c>
      <c r="K14" s="2" t="inlineStr"/>
      <c r="L14" s="2" t="inlineStr"/>
      <c r="M14" s="2" t="inlineStr"/>
      <c r="N14" s="2" t="inlineStr">
        <is>
          <t>DISCREPANCIA - El monto de la factura ($0.00) no coincide con ninguna OC individual ni con la suma total ($1,466.44 MXN). Además, el proveedor de la factura es "None", lo que no coincide con el provee...</t>
        </is>
      </c>
    </row>
    <row r="15">
      <c r="A15" s="2" t="inlineStr">
        <is>
          <t>⚠️ ANOMALÍA</t>
        </is>
      </c>
      <c r="B15" s="2" t="n">
        <v>57</v>
      </c>
      <c r="C15" s="2" t="inlineStr">
        <is>
          <t>2025-11-19 18:26:58</t>
        </is>
      </c>
      <c r="D15" s="2" t="inlineStr">
        <is>
          <t>No</t>
        </is>
      </c>
      <c r="E15" s="2" t="n">
        <v>0</v>
      </c>
      <c r="F15" s="2" t="inlineStr">
        <is>
          <t>Sí</t>
        </is>
      </c>
      <c r="G15" s="3">
        <f>HYPERLINK("https://drive.google.com/file/d/12a6RlMIN5k_xCdmcQDH_5bo4K9G3frkZ/view", "Ver PDF")</f>
        <v/>
      </c>
      <c r="H15" s="2" t="inlineStr">
        <is>
          <t>⚠️ Sin OC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/>
    </row>
    <row r="16">
      <c r="A16" s="2" t="inlineStr">
        <is>
          <t>⚠️ ANOMALÍA</t>
        </is>
      </c>
      <c r="B16" s="2" t="n">
        <v>58</v>
      </c>
      <c r="C16" s="2" t="inlineStr">
        <is>
          <t>2025-11-19 18:26:59</t>
        </is>
      </c>
      <c r="D16" s="2" t="inlineStr">
        <is>
          <t>No</t>
        </is>
      </c>
      <c r="E16" s="2" t="n">
        <v>0</v>
      </c>
      <c r="F16" s="2" t="inlineStr">
        <is>
          <t>Sí</t>
        </is>
      </c>
      <c r="G16" s="3">
        <f>HYPERLINK("https://drive.google.com/file/d/1a_pZePYLI_cErwZ5LR1BPDpKtxDFzT1z/view", "Ver PDF")</f>
        <v/>
      </c>
      <c r="H16" s="2" t="inlineStr">
        <is>
          <t>⚠️ Sin OC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/>
    </row>
    <row r="17">
      <c r="A17" s="2" t="inlineStr">
        <is>
          <t>⚠️ ANOMALÍA</t>
        </is>
      </c>
      <c r="B17" s="2" t="n">
        <v>59</v>
      </c>
      <c r="C17" s="2" t="inlineStr">
        <is>
          <t>2025-11-19 18:27:01</t>
        </is>
      </c>
      <c r="D17" s="2" t="inlineStr">
        <is>
          <t>Sí</t>
        </is>
      </c>
      <c r="E17" s="2" t="n">
        <v>1</v>
      </c>
      <c r="F17" s="2" t="inlineStr">
        <is>
          <t>Sí</t>
        </is>
      </c>
      <c r="G17" s="3">
        <f>HYPERLINK("https://drive.google.com/file/d/1MdGxIyHNa4QSWBWQaNXQt63VYW7uPayW/view", "Ver PDF")</f>
        <v/>
      </c>
      <c r="H17" s="2" t="inlineStr">
        <is>
          <t>⚠️ Discrepancias</t>
        </is>
      </c>
      <c r="I17" s="2" t="inlineStr"/>
      <c r="J17" s="2" t="n">
        <v>0</v>
      </c>
      <c r="K17" s="2" t="inlineStr"/>
      <c r="L17" s="2" t="inlineStr"/>
      <c r="M17" s="2" t="inlineStr"/>
      <c r="N17" s="2" t="inlineStr">
        <is>
          <t>DISCREPANCIA - El monto de la factura ($0.00) no coincide con ninguna OC individual ni con la suma total ($256,770.00). Además, el proveedor de la factura es "None", lo que no permite una comparación ...</t>
        </is>
      </c>
    </row>
    <row r="18">
      <c r="A18" s="2" t="inlineStr">
        <is>
          <t>⚠️ ANOMALÍA</t>
        </is>
      </c>
      <c r="B18" s="2" t="n">
        <v>60</v>
      </c>
      <c r="C18" s="2" t="inlineStr">
        <is>
          <t>2025-11-19 18:27:02</t>
        </is>
      </c>
      <c r="D18" s="2" t="inlineStr">
        <is>
          <t>No</t>
        </is>
      </c>
      <c r="E18" s="2" t="n">
        <v>0</v>
      </c>
      <c r="F18" s="2" t="inlineStr">
        <is>
          <t>Sí</t>
        </is>
      </c>
      <c r="G18" s="3">
        <f>HYPERLINK("https://drive.google.com/file/d/1lUlulLrM5D7JIfUG5BB0RggwCzJ5Xspg/view", "Ver PDF")</f>
        <v/>
      </c>
      <c r="H18" s="2" t="inlineStr">
        <is>
          <t>⚠️ Sin OC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/>
    </row>
    <row r="19">
      <c r="A19" s="2" t="inlineStr">
        <is>
          <t>⚠️ ANOMALÍA</t>
        </is>
      </c>
      <c r="B19" s="2" t="n">
        <v>61</v>
      </c>
      <c r="C19" s="2" t="inlineStr">
        <is>
          <t>2025-11-19 18:27:04</t>
        </is>
      </c>
      <c r="D19" s="2" t="inlineStr">
        <is>
          <t>Sí</t>
        </is>
      </c>
      <c r="E19" s="2" t="n">
        <v>1</v>
      </c>
      <c r="F19" s="2" t="inlineStr">
        <is>
          <t>Sí</t>
        </is>
      </c>
      <c r="G19" s="3">
        <f>HYPERLINK("https://drive.google.com/file/d/1j3WjnSK8UdUkpIB33wFNcvWXzuEwIsBe/view", "Ver PDF")</f>
        <v/>
      </c>
      <c r="H19" s="2" t="inlineStr">
        <is>
          <t>⚠️ Discrepancias</t>
        </is>
      </c>
      <c r="I19" s="2" t="inlineStr"/>
      <c r="J19" s="2" t="n">
        <v>0</v>
      </c>
      <c r="K19" s="2" t="inlineStr"/>
      <c r="L19" s="2" t="inlineStr"/>
      <c r="M19" s="2" t="inlineStr"/>
      <c r="N19" s="2" t="inlineStr">
        <is>
          <t>DISCREPANCIA - El monto de la factura ($0.00) no coincide con ninguna OC individual ni con la suma total ($45,954.00). Además, el proveedor de la factura es "None", lo que no permite una comparación v...</t>
        </is>
      </c>
    </row>
    <row r="20">
      <c r="A20" s="2" t="inlineStr">
        <is>
          <t>⚠️ ANOMALÍA</t>
        </is>
      </c>
      <c r="B20" s="2" t="n">
        <v>62</v>
      </c>
      <c r="C20" s="2" t="inlineStr">
        <is>
          <t>2025-11-19 18:27:05</t>
        </is>
      </c>
      <c r="D20" s="2" t="inlineStr">
        <is>
          <t>Sí</t>
        </is>
      </c>
      <c r="E20" s="2" t="n">
        <v>1</v>
      </c>
      <c r="F20" s="2" t="inlineStr">
        <is>
          <t>Sí</t>
        </is>
      </c>
      <c r="G20" s="3">
        <f>HYPERLINK("https://drive.google.com/file/d/1umcsPG8N7h9NKTdv3K8Z_d12GJ3XY3-f/view", "Ver PDF")</f>
        <v/>
      </c>
      <c r="H20" s="2" t="inlineStr">
        <is>
          <t>⚠️ Discrepancias</t>
        </is>
      </c>
      <c r="I20" s="2" t="inlineStr"/>
      <c r="J20" s="2" t="n">
        <v>0</v>
      </c>
      <c r="K20" s="2" t="inlineStr"/>
      <c r="L20" s="2" t="inlineStr"/>
      <c r="M20" s="2" t="inlineStr"/>
      <c r="N20" s="2" t="inlineStr">
        <is>
          <t>DISCREPANCIA - El monto de la factura ($0.00) no coincide con ninguna OC individual ni con la suma total ($962.00 MXN). Además, el proveedor de la factura es "None", lo que no coincide con el proveedo...</t>
        </is>
      </c>
    </row>
    <row r="21">
      <c r="A21" s="2" t="inlineStr">
        <is>
          <t>⚠️ ANOMALÍA</t>
        </is>
      </c>
      <c r="B21" s="2" t="n">
        <v>63</v>
      </c>
      <c r="C21" s="2" t="inlineStr">
        <is>
          <t>2025-11-19 18:27:07</t>
        </is>
      </c>
      <c r="D21" s="2" t="inlineStr">
        <is>
          <t>No</t>
        </is>
      </c>
      <c r="E21" s="2" t="n">
        <v>0</v>
      </c>
      <c r="F21" s="2" t="inlineStr">
        <is>
          <t>Sí</t>
        </is>
      </c>
      <c r="G21" s="3">
        <f>HYPERLINK("https://drive.google.com/file/d/1dL0q9PS7H-VeWYleJ3SdTW8Ac9XMc-u4/view", "Ver PDF")</f>
        <v/>
      </c>
      <c r="H21" s="2" t="inlineStr">
        <is>
          <t>⚠️ Sin OC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/>
    </row>
    <row r="22">
      <c r="A22" s="2" t="inlineStr">
        <is>
          <t>⚠️ ANOMALÍA</t>
        </is>
      </c>
      <c r="B22" s="2" t="n">
        <v>64</v>
      </c>
      <c r="C22" s="2" t="inlineStr">
        <is>
          <t>2025-11-19 18:27:07</t>
        </is>
      </c>
      <c r="D22" s="2" t="inlineStr">
        <is>
          <t>Sí</t>
        </is>
      </c>
      <c r="E22" s="2" t="n">
        <v>1</v>
      </c>
      <c r="F22" s="2" t="inlineStr">
        <is>
          <t>Sí</t>
        </is>
      </c>
      <c r="G22" s="3">
        <f>HYPERLINK("https://drive.google.com/file/d/1niBKD0r8y4Sszg2p7hvZCcTgCEmHFgfY/view", "Ver PDF")</f>
        <v/>
      </c>
      <c r="H22" s="2" t="inlineStr">
        <is>
          <t>⚠️ Discrepancias</t>
        </is>
      </c>
      <c r="I22" s="2" t="inlineStr"/>
      <c r="J22" s="2" t="n">
        <v>0</v>
      </c>
      <c r="K22" s="2" t="inlineStr"/>
      <c r="L22" s="2" t="inlineStr"/>
      <c r="M22" s="2" t="inlineStr"/>
      <c r="N22" s="2" t="inlineStr">
        <is>
          <t>DISCREPANCIA - El monto de la factura ($0.00) no coincide con ninguna OC individual ni con la suma total ($9,592.04). Además, el proveedor de la factura es "None", lo que no permite una comparación vá...</t>
        </is>
      </c>
    </row>
    <row r="23">
      <c r="A23" s="2" t="inlineStr">
        <is>
          <t>⚠️ ANOMALÍA</t>
        </is>
      </c>
      <c r="B23" s="2" t="n">
        <v>65</v>
      </c>
      <c r="C23" s="2" t="inlineStr">
        <is>
          <t>2025-11-19 18:27:09</t>
        </is>
      </c>
      <c r="D23" s="2" t="inlineStr">
        <is>
          <t>Sí</t>
        </is>
      </c>
      <c r="E23" s="2" t="n">
        <v>1</v>
      </c>
      <c r="F23" s="2" t="inlineStr">
        <is>
          <t>Sí</t>
        </is>
      </c>
      <c r="G23" s="3">
        <f>HYPERLINK("https://drive.google.com/file/d/1e8olY_u-3tFHQMgeo6EgzlpS89D2h0ns/view", "Ver PDF")</f>
        <v/>
      </c>
      <c r="H23" s="2" t="inlineStr">
        <is>
          <t>⚠️ Discrepancias</t>
        </is>
      </c>
      <c r="I23" s="2" t="inlineStr"/>
      <c r="J23" s="2" t="n">
        <v>0</v>
      </c>
      <c r="K23" s="2" t="inlineStr"/>
      <c r="L23" s="2" t="inlineStr"/>
      <c r="M23" s="2" t="inlineStr"/>
      <c r="N23" s="2" t="inlineStr">
        <is>
          <t>DISCREPANCIA - El monto de la factura ($0.00) no coincide con ninguna OC individual ni con la suma total ($51,620.00 MXN). Además, el proveedor de la factura es "None", lo que no coincide con el prove...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22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22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15</v>
      </c>
    </row>
    <row r="9">
      <c r="A9" t="inlineStr">
        <is>
          <t>⚠️ Sin OC</t>
        </is>
      </c>
      <c r="B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2025-11-19T18:33:16Z</dcterms:created>
  <dcterms:modified xsi:type="dcterms:W3CDTF">2025-11-19T18:33:16Z</dcterms:modified>
</cp:coreProperties>
</file>