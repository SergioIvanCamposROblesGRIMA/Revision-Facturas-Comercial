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FF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14" customWidth="1" min="5" max="5"/>
    <col width="15" customWidth="1" min="6" max="6"/>
    <col width="60" customWidth="1" min="7" max="7"/>
    <col width="18" customWidth="1" min="8" max="8"/>
    <col width="51" customWidth="1" min="9" max="9"/>
    <col width="12" customWidth="1" min="10" max="10"/>
    <col width="12" customWidth="1" min="11" max="11"/>
    <col width="60" customWidth="1" min="12" max="12"/>
    <col width="38" customWidth="1" min="13" max="13"/>
    <col width="60" customWidth="1" min="14" max="14"/>
  </cols>
  <sheetData>
    <row r="1">
      <c r="A1" s="1" t="inlineStr">
        <is>
          <t>Estado</t>
        </is>
      </c>
      <c r="B1" s="1" t="inlineStr">
        <is>
          <t>ID Registro</t>
        </is>
      </c>
      <c r="C1" s="1" t="inlineStr">
        <is>
          <t>Fecha Recepción</t>
        </is>
      </c>
      <c r="D1" s="1" t="inlineStr">
        <is>
          <t>Tiene OC</t>
        </is>
      </c>
      <c r="E1" s="1" t="inlineStr">
        <is>
          <t>Cantidad OCs</t>
        </is>
      </c>
      <c r="F1" s="1" t="inlineStr">
        <is>
          <t>Tiene Factura</t>
        </is>
      </c>
      <c r="G1" s="1" t="inlineStr">
        <is>
          <t>Link Factura</t>
        </is>
      </c>
      <c r="H1" s="1" t="inlineStr">
        <is>
          <t>Tipo Anomalía</t>
        </is>
      </c>
      <c r="I1" s="1" t="inlineStr">
        <is>
          <t>Proveedor</t>
        </is>
      </c>
      <c r="J1" s="1" t="inlineStr">
        <is>
          <t>Gran Total</t>
        </is>
      </c>
      <c r="K1" s="1" t="inlineStr">
        <is>
          <t>Moneda</t>
        </is>
      </c>
      <c r="L1" s="1" t="inlineStr">
        <is>
          <t>Receptor</t>
        </is>
      </c>
      <c r="M1" s="1" t="inlineStr">
        <is>
          <t>Folio</t>
        </is>
      </c>
      <c r="N1" s="1" t="inlineStr">
        <is>
          <t>Resultado Validación</t>
        </is>
      </c>
    </row>
    <row r="2">
      <c r="A2" s="2" t="inlineStr">
        <is>
          <t>⚠️ ANOMALÍA</t>
        </is>
      </c>
      <c r="B2" s="2" t="n">
        <v>1</v>
      </c>
      <c r="C2" s="2" t="inlineStr">
        <is>
          <t>2025-11-19 20:20:53</t>
        </is>
      </c>
      <c r="D2" s="2" t="inlineStr">
        <is>
          <t>Sí</t>
        </is>
      </c>
      <c r="E2" s="2" t="n">
        <v>1</v>
      </c>
      <c r="F2" s="2" t="inlineStr">
        <is>
          <t>Sí</t>
        </is>
      </c>
      <c r="G2" s="3">
        <f>HYPERLINK("https://drive.google.com/file/d/1KXomxW1_eDrvfwKaJ3LkLjJWD01iFw-f/view", "Ver PDF")</f>
        <v/>
      </c>
      <c r="H2" s="2" t="inlineStr">
        <is>
          <t>⚠️ Discrepancias</t>
        </is>
      </c>
      <c r="I2" s="2" t="inlineStr">
        <is>
          <t>JUAN PABLO BOJORQUEZ NORIEGA</t>
        </is>
      </c>
      <c r="J2" s="2" t="n">
        <v>2051</v>
      </c>
      <c r="K2" s="2" t="inlineStr">
        <is>
          <t>MXN</t>
        </is>
      </c>
      <c r="L2" s="2" t="inlineStr">
        <is>
          <t>BRAULIO MALDONADO LOC 85Y86 COL. CENTRO, MEXICALI, BAJA CALIFORNIA C.P. 21850, MEXICO</t>
        </is>
      </c>
      <c r="M2" s="2" t="inlineStr">
        <is>
          <t>514c508d-9ece-45ca-9fe8-f2c4018f2c08</t>
        </is>
      </c>
      <c r="N2" s="2" t="inlineStr">
        <is>
          <t>DISCREPANCIA - El monto de la factura ($2,051.00) no coincide con ninguna OC individual ni con la suma total (que es $0.00). Además, no hay información sobre el proveedor en la OC.</t>
        </is>
      </c>
    </row>
    <row r="3">
      <c r="A3" s="2" t="inlineStr">
        <is>
          <t>⚠️ ANOMALÍA</t>
        </is>
      </c>
      <c r="B3" s="2" t="n">
        <v>2</v>
      </c>
      <c r="C3" s="2" t="inlineStr">
        <is>
          <t>2025-11-19 20:20:55</t>
        </is>
      </c>
      <c r="D3" s="2" t="inlineStr">
        <is>
          <t>Sí</t>
        </is>
      </c>
      <c r="E3" s="2" t="n">
        <v>1</v>
      </c>
      <c r="F3" s="2" t="inlineStr">
        <is>
          <t>Sí</t>
        </is>
      </c>
      <c r="G3" s="3">
        <f>HYPERLINK("https://drive.google.com/file/d/1Kd3YoFX2nYb3MNHm8FtavX8SsM7x3kcE/view", "Ver PDF")</f>
        <v/>
      </c>
      <c r="H3" s="2" t="inlineStr">
        <is>
          <t>⚠️ Discrepancias</t>
        </is>
      </c>
      <c r="I3" s="2" t="inlineStr">
        <is>
          <t>JUAN PABLO BOJORQUEZ NORIEGA</t>
        </is>
      </c>
      <c r="J3" s="2" t="n">
        <v>4091.7</v>
      </c>
      <c r="K3" s="2" t="inlineStr">
        <is>
          <t>MXN</t>
        </is>
      </c>
      <c r="L3" s="2" t="inlineStr">
        <is>
          <t>CLIENTE</t>
        </is>
      </c>
      <c r="M3" s="2" t="inlineStr">
        <is>
          <t>5C852DE0-07F9-4B75-B890-8D4B4C638142</t>
        </is>
      </c>
      <c r="N3" s="2" t="inlineStr">
        <is>
          <t>DISCREPANCIA - El monto de la factura ($4,091.70) no coincide con ninguna OC individual ni con la suma total ($0.00). Además, no hay información sobre el proveedor en la OC disponible.</t>
        </is>
      </c>
    </row>
    <row r="4">
      <c r="A4" s="2" t="inlineStr">
        <is>
          <t>⚠️ ANOMALÍA</t>
        </is>
      </c>
      <c r="B4" s="2" t="n">
        <v>3</v>
      </c>
      <c r="C4" s="2" t="inlineStr">
        <is>
          <t>2025-11-19 20:20:56</t>
        </is>
      </c>
      <c r="D4" s="2" t="inlineStr">
        <is>
          <t>Sí</t>
        </is>
      </c>
      <c r="E4" s="2" t="n">
        <v>1</v>
      </c>
      <c r="F4" s="2" t="inlineStr">
        <is>
          <t>Sí</t>
        </is>
      </c>
      <c r="G4" s="3">
        <f>HYPERLINK("https://drive.google.com/file/d/16ZbeiV5wLK-k3lxvfBbJ1WSJPVVr6HgJ/view", "Ver PDF")</f>
        <v/>
      </c>
      <c r="H4" s="2" t="inlineStr">
        <is>
          <t>⚠️ Discrepancias</t>
        </is>
      </c>
      <c r="I4" s="2" t="inlineStr">
        <is>
          <t>JUAN PABLO BOJORQUEZ NORIEGA</t>
        </is>
      </c>
      <c r="J4" s="2" t="n">
        <v>2378.1</v>
      </c>
      <c r="K4" s="2" t="inlineStr">
        <is>
          <t>MXN</t>
        </is>
      </c>
      <c r="L4" s="2" t="inlineStr">
        <is>
          <t>BRAULIO MALDONADO LOC 85Y86 COL. CENTRO MEXICALI, BAJA CALIFORNIA C.P. 21850 MEXICO</t>
        </is>
      </c>
      <c r="M4" s="2" t="inlineStr">
        <is>
          <t>6B6BAD91-3746-4FEA-8C04-8FDBAE50FE43</t>
        </is>
      </c>
      <c r="N4" s="2" t="inlineStr">
        <is>
          <t>DISCREPANCIA - El monto de la factura ($2,378.10) no coincide con ninguna OC individual ni con la suma total ($0.00). Además, no hay OCs disponibles que justifiquen el monto de la factura.</t>
        </is>
      </c>
    </row>
    <row r="5">
      <c r="A5" s="2" t="inlineStr">
        <is>
          <t>⚠️ ANOMALÍA</t>
        </is>
      </c>
      <c r="B5" s="2" t="n">
        <v>4</v>
      </c>
      <c r="C5" s="2" t="inlineStr">
        <is>
          <t>2025-11-19 20:20:58</t>
        </is>
      </c>
      <c r="D5" s="2" t="inlineStr">
        <is>
          <t>Sí</t>
        </is>
      </c>
      <c r="E5" s="2" t="n">
        <v>1</v>
      </c>
      <c r="F5" s="2" t="inlineStr">
        <is>
          <t>Sí</t>
        </is>
      </c>
      <c r="G5" s="3">
        <f>HYPERLINK("https://drive.google.com/file/d/1_kagk2LHnGNEfO_bSfYGNX-SRYkiW5wN/view", "Ver PDF")</f>
        <v/>
      </c>
      <c r="H5" s="2" t="inlineStr">
        <is>
          <t>⚠️ Discrepancias</t>
        </is>
      </c>
      <c r="I5" s="2" t="inlineStr">
        <is>
          <t>JUAN PABLO BOJORQUEZ NORIEGA</t>
        </is>
      </c>
      <c r="J5" s="2" t="n">
        <v>2719.5</v>
      </c>
      <c r="K5" s="2" t="inlineStr">
        <is>
          <t>MXN</t>
        </is>
      </c>
      <c r="L5" s="2" t="inlineStr">
        <is>
          <t>BRAULIO MALDONADO LOC 85Y86 COL. CENTRO, MEXICALI, BAJA CALIFORNIA C.P. 21850, MEXICO</t>
        </is>
      </c>
      <c r="M5" s="2" t="inlineStr">
        <is>
          <t>a90c8965-38bb-4cca-96a0-c9be365ee193</t>
        </is>
      </c>
      <c r="N5" s="2" t="inlineStr">
        <is>
          <t>DISCREPANCIA - El monto de la factura ($2,719.50) no coincide con ninguna OC individual ni con la suma total ($0.00). Además, no hay información sobre el proveedor en la OC disponible.</t>
        </is>
      </c>
    </row>
    <row r="6">
      <c r="A6" s="2" t="inlineStr">
        <is>
          <t>⚠️ ANOMALÍA</t>
        </is>
      </c>
      <c r="B6" s="2" t="n">
        <v>5</v>
      </c>
      <c r="C6" s="2" t="inlineStr">
        <is>
          <t>2025-11-19 20:21:06</t>
        </is>
      </c>
      <c r="D6" s="2" t="inlineStr">
        <is>
          <t>Sí</t>
        </is>
      </c>
      <c r="E6" s="2" t="n">
        <v>1</v>
      </c>
      <c r="F6" s="2" t="inlineStr">
        <is>
          <t>Sí</t>
        </is>
      </c>
      <c r="G6" s="3">
        <f>HYPERLINK("https://drive.google.com/file/d/1X5grJAsMMXuYmA9c-mpUuZ9LXfvRSrZC/view", "Ver PDF")</f>
        <v/>
      </c>
      <c r="H6" s="2" t="inlineStr">
        <is>
          <t>⚠️ Discrepancias</t>
        </is>
      </c>
      <c r="I6" s="2" t="inlineStr">
        <is>
          <t>JUAN PABLO BOJORQUEZ NORIEGA</t>
        </is>
      </c>
      <c r="J6" s="2" t="n">
        <v>2043.1</v>
      </c>
      <c r="K6" s="2" t="inlineStr">
        <is>
          <t>MXN</t>
        </is>
      </c>
      <c r="L6" s="2" t="inlineStr">
        <is>
          <t>MEXICALI, BAJA CALIFORNIA C.P. 21850 MEXICO</t>
        </is>
      </c>
      <c r="M6" s="2" t="inlineStr">
        <is>
          <t>DBBDE2D3-185D-413D-9618-C8E52CEAFFA3</t>
        </is>
      </c>
      <c r="N6" s="2" t="inlineStr">
        <is>
          <t>DISCREPANCIA - El monto de la factura ($2,043.10) no coincide con ninguna OC individual ni con la suma total ($0.00). Además, no hay información sobre el proveedor en la OC disponible.</t>
        </is>
      </c>
    </row>
    <row r="7">
      <c r="A7" s="2" t="inlineStr">
        <is>
          <t>⚠️ ANOMALÍA</t>
        </is>
      </c>
      <c r="B7" s="2" t="n">
        <v>6</v>
      </c>
      <c r="C7" s="2" t="inlineStr">
        <is>
          <t>2025-11-19 20:21:07</t>
        </is>
      </c>
      <c r="D7" s="2" t="inlineStr">
        <is>
          <t>Sí</t>
        </is>
      </c>
      <c r="E7" s="2" t="n">
        <v>1</v>
      </c>
      <c r="F7" s="2" t="inlineStr">
        <is>
          <t>Sí</t>
        </is>
      </c>
      <c r="G7" s="3">
        <f>HYPERLINK("https://drive.google.com/file/d/1rR90J_sDdy7BB69yimuOzPIVrRV_6pv3/view", "Ver PDF")</f>
        <v/>
      </c>
      <c r="H7" s="2" t="inlineStr">
        <is>
          <t>⚠️ Discrepancias</t>
        </is>
      </c>
      <c r="I7" s="2" t="inlineStr">
        <is>
          <t>DEL HUERTO DISTRIBUIDORA</t>
        </is>
      </c>
      <c r="J7" s="2" t="n">
        <v>3970.44</v>
      </c>
      <c r="K7" s="2" t="inlineStr">
        <is>
          <t>MXN</t>
        </is>
      </c>
      <c r="L7" s="2" t="inlineStr">
        <is>
          <t>CAFE CACHANILLA</t>
        </is>
      </c>
      <c r="M7" s="2" t="inlineStr">
        <is>
          <t>849</t>
        </is>
      </c>
      <c r="N7" s="2" t="inlineStr">
        <is>
          <t>DISCREPANCIA - El monto de la factura ($3,970.44) no coincide con ninguna OC individual ni con la suma total ($0.00). Además, no hay información sobre el proveedor en la OC disponible.</t>
        </is>
      </c>
    </row>
    <row r="8">
      <c r="A8" s="2" t="inlineStr">
        <is>
          <t>⚠️ ANOMALÍA</t>
        </is>
      </c>
      <c r="B8" s="2" t="n">
        <v>7</v>
      </c>
      <c r="C8" s="2" t="inlineStr">
        <is>
          <t>2025-11-19 20:21:08</t>
        </is>
      </c>
      <c r="D8" s="2" t="inlineStr">
        <is>
          <t>Sí</t>
        </is>
      </c>
      <c r="E8" s="2" t="n">
        <v>1</v>
      </c>
      <c r="F8" s="2" t="inlineStr">
        <is>
          <t>Sí</t>
        </is>
      </c>
      <c r="G8" s="3">
        <f>HYPERLINK("https://drive.google.com/file/d/1VAaMvhEaQtSPu6ASEuLpaAoHvrqJNluf/view", "Ver PDF")</f>
        <v/>
      </c>
      <c r="H8" s="2" t="inlineStr">
        <is>
          <t>⚠️ Discrepancias</t>
        </is>
      </c>
      <c r="I8" s="2" t="inlineStr">
        <is>
          <t>DEL HUERTO DISTRIBUIDORA JONATHAN JIMENEZ CIREROL</t>
        </is>
      </c>
      <c r="J8" s="2" t="n">
        <v>5308.21</v>
      </c>
      <c r="K8" s="2" t="inlineStr">
        <is>
          <t>MXN</t>
        </is>
      </c>
      <c r="L8" s="2" t="inlineStr">
        <is>
          <t>CAFE CACHANILLA</t>
        </is>
      </c>
      <c r="M8" s="2" t="inlineStr">
        <is>
          <t>845</t>
        </is>
      </c>
      <c r="N8" s="2" t="inlineStr">
        <is>
          <t>DISCREPANCIA - El monto de la factura ($5,308.21) no coincide con ninguna OC individual ni con la suma total ($0.00). Además, no hay información sobre el proveedor en la OC disponible.</t>
        </is>
      </c>
    </row>
    <row r="9">
      <c r="A9" s="2" t="inlineStr">
        <is>
          <t>⚠️ ANOMALÍA</t>
        </is>
      </c>
      <c r="B9" s="2" t="n">
        <v>8</v>
      </c>
      <c r="C9" s="2" t="inlineStr">
        <is>
          <t>2025-11-19 20:21:09</t>
        </is>
      </c>
      <c r="D9" s="2" t="inlineStr">
        <is>
          <t>Sí</t>
        </is>
      </c>
      <c r="E9" s="2" t="n">
        <v>1</v>
      </c>
      <c r="F9" s="2" t="inlineStr">
        <is>
          <t>Sí</t>
        </is>
      </c>
      <c r="G9" s="3">
        <f>HYPERLINK("https://drive.google.com/file/d/1WxSqWL3ivzm-0WEeiS03SJNli_1wGcyz/view", "Ver PDF")</f>
        <v/>
      </c>
      <c r="H9" s="2" t="inlineStr">
        <is>
          <t>⚠️ Discrepancias</t>
        </is>
      </c>
      <c r="I9" s="2" t="inlineStr">
        <is>
          <t>BRENDA GUZMAN CHAVEZ</t>
        </is>
      </c>
      <c r="J9" s="2" t="n">
        <v>7259</v>
      </c>
      <c r="K9" s="2" t="inlineStr">
        <is>
          <t>MXN</t>
        </is>
      </c>
      <c r="L9" s="2" t="inlineStr">
        <is>
          <t>CAFE CACHANILLA</t>
        </is>
      </c>
      <c r="M9" s="2" t="inlineStr">
        <is>
          <t>3C97CCF6-4FD0-4245-B284-88676E1006DA</t>
        </is>
      </c>
      <c r="N9" s="2" t="inlineStr">
        <is>
          <t>DISCREPANCIA - El monto de la factura ($7,259.00) no coincide con ninguna OC individual ni con la suma total (que es $0.00). Además, no hay información sobre el proveedor en la OC.</t>
        </is>
      </c>
    </row>
    <row r="10">
      <c r="A10" s="2" t="inlineStr">
        <is>
          <t>⚠️ ANOMALÍA</t>
        </is>
      </c>
      <c r="B10" s="2" t="n">
        <v>9</v>
      </c>
      <c r="C10" s="2" t="inlineStr">
        <is>
          <t>2025-11-19 20:21:10</t>
        </is>
      </c>
      <c r="D10" s="2" t="inlineStr">
        <is>
          <t>No</t>
        </is>
      </c>
      <c r="E10" s="2" t="n">
        <v>0</v>
      </c>
      <c r="F10" s="2" t="inlineStr">
        <is>
          <t>Sí</t>
        </is>
      </c>
      <c r="G10" s="3">
        <f>HYPERLINK("https://drive.google.com/file/d/1RtN0tIc6YR24KqNXwrpIq6WhDUBu_FZD/view", "Ver PDF")</f>
        <v/>
      </c>
      <c r="H10" s="2" t="inlineStr">
        <is>
          <t>⚠️ Sin OC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/>
    </row>
    <row r="11">
      <c r="A11" s="2" t="inlineStr">
        <is>
          <t>⚠️ ANOMALÍA</t>
        </is>
      </c>
      <c r="B11" s="2" t="n">
        <v>10</v>
      </c>
      <c r="C11" s="2" t="inlineStr">
        <is>
          <t>2025-11-19 20:21:11</t>
        </is>
      </c>
      <c r="D11" s="2" t="inlineStr">
        <is>
          <t>No</t>
        </is>
      </c>
      <c r="E11" s="2" t="n">
        <v>0</v>
      </c>
      <c r="F11" s="2" t="inlineStr">
        <is>
          <t>Sí</t>
        </is>
      </c>
      <c r="G11" s="3">
        <f>HYPERLINK("https://drive.google.com/file/d/1nR4Cs3FFxcZF6A-C75mOMPN_-Y0fFe6l/view", "Ver PDF")</f>
        <v/>
      </c>
      <c r="H11" s="2" t="inlineStr">
        <is>
          <t>⚠️ Sin OC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/>
    </row>
    <row r="12">
      <c r="A12" s="2" t="inlineStr">
        <is>
          <t>⚠️ ANOMALÍA</t>
        </is>
      </c>
      <c r="B12" s="2" t="n">
        <v>11</v>
      </c>
      <c r="C12" s="2" t="inlineStr">
        <is>
          <t>2025-11-19 20:21:12</t>
        </is>
      </c>
      <c r="D12" s="2" t="inlineStr">
        <is>
          <t>Sí</t>
        </is>
      </c>
      <c r="E12" s="2" t="n">
        <v>1</v>
      </c>
      <c r="F12" s="2" t="inlineStr">
        <is>
          <t>Sí</t>
        </is>
      </c>
      <c r="G12" s="3">
        <f>HYPERLINK("https://drive.google.com/file/d/1yaD9FI3C5CevOmTJ87zc-Qosmukctfif/view", "Ver PDF")</f>
        <v/>
      </c>
      <c r="H12" s="2" t="inlineStr">
        <is>
          <t>⚠️ Discrepancias</t>
        </is>
      </c>
      <c r="I12" s="2" t="inlineStr">
        <is>
          <t>JUAN PABLO BOJORQUEZ NORIEGA</t>
        </is>
      </c>
      <c r="J12" s="2" t="n">
        <v>1321.5</v>
      </c>
      <c r="K12" s="2" t="inlineStr">
        <is>
          <t>MXN</t>
        </is>
      </c>
      <c r="L12" s="2" t="inlineStr">
        <is>
          <t>BRAULIO MALDONADO LOCAL 85Y86 COL. CENTRO MEXICALI, BAJA CALIFORNIA C.P. 21850</t>
        </is>
      </c>
      <c r="M12" s="2" t="inlineStr">
        <is>
          <t>0fb2c041-f1a2-43e7-8c38-e2c064802c43</t>
        </is>
      </c>
      <c r="N12" s="2" t="inlineStr">
        <is>
          <t>DISCREPANCIA - El monto de la factura ($1,321.50) no coincide con ninguna OC individual ni con la suma total ($0.00). Además, no hay información sobre el proveedor en la OC.</t>
        </is>
      </c>
    </row>
    <row r="13">
      <c r="A13" s="2" t="inlineStr">
        <is>
          <t>⚠️ ANOMALÍA</t>
        </is>
      </c>
      <c r="B13" s="2" t="n">
        <v>12</v>
      </c>
      <c r="C13" s="2" t="inlineStr">
        <is>
          <t>2025-11-19 20:21:54</t>
        </is>
      </c>
      <c r="D13" s="2" t="inlineStr">
        <is>
          <t>Sí</t>
        </is>
      </c>
      <c r="E13" s="2" t="n">
        <v>1</v>
      </c>
      <c r="F13" s="2" t="inlineStr">
        <is>
          <t>Sí</t>
        </is>
      </c>
      <c r="G13" s="3">
        <f>HYPERLINK("https://drive.google.com/file/d/1wmNRf4veBBxE9bjwM364X1uha56K6VN5/view", "Ver PDF")</f>
        <v/>
      </c>
      <c r="H13" s="2" t="inlineStr">
        <is>
          <t>⚠️ Discrepancias</t>
        </is>
      </c>
      <c r="I13" s="2" t="inlineStr">
        <is>
          <t>JUAN PABLO BOJORQUEZ NORIEGA</t>
        </is>
      </c>
      <c r="J13" s="2" t="n">
        <v>1704.5</v>
      </c>
      <c r="K13" s="2" t="inlineStr">
        <is>
          <t>MXN</t>
        </is>
      </c>
      <c r="L13" s="2" t="inlineStr">
        <is>
          <t>BRAULIO MALDONADO LOC 85Y86 COL. CENTRO MEXICALI, BAJA CALIFORNIA C.P. 21850 MEXICO</t>
        </is>
      </c>
      <c r="M13" s="2" t="inlineStr">
        <is>
          <t>6cff2336-ceae-437f-86bd-2b8cb10456ef</t>
        </is>
      </c>
      <c r="N13" s="2" t="inlineStr">
        <is>
          <t>DISCREPANCIA - El monto de la factura ($1,704.50) no coincide con ninguna OC individual ni con la suma total ($0.00). Además, no hay información sobre el proveedor en la OC.</t>
        </is>
      </c>
    </row>
    <row r="14">
      <c r="A14" s="2" t="inlineStr">
        <is>
          <t>⚠️ ANOMALÍA</t>
        </is>
      </c>
      <c r="B14" s="2" t="n">
        <v>13</v>
      </c>
      <c r="C14" s="2" t="inlineStr">
        <is>
          <t>2025-11-19 20:21:54</t>
        </is>
      </c>
      <c r="D14" s="2" t="inlineStr">
        <is>
          <t>Sí</t>
        </is>
      </c>
      <c r="E14" s="2" t="n">
        <v>1</v>
      </c>
      <c r="F14" s="2" t="inlineStr">
        <is>
          <t>Sí</t>
        </is>
      </c>
      <c r="G14" s="3">
        <f>HYPERLINK("https://drive.google.com/file/d/1seHin_ZlI6RsdJHZN4xhQJgcsmg3YtJI/view", "Ver PDF")</f>
        <v/>
      </c>
      <c r="H14" s="2" t="inlineStr">
        <is>
          <t>⚠️ Discrepancias</t>
        </is>
      </c>
      <c r="I14" s="2" t="inlineStr">
        <is>
          <t>DEL HUERTO DISTRIBUIDORA JONATHAN JIMENEZ CIREROL</t>
        </is>
      </c>
      <c r="J14" s="2" t="n">
        <v>1466.44</v>
      </c>
      <c r="K14" s="2" t="inlineStr">
        <is>
          <t>MXN</t>
        </is>
      </c>
      <c r="L14" s="2" t="inlineStr">
        <is>
          <t>CAFE CACHANILLA</t>
        </is>
      </c>
      <c r="M14" s="2" t="inlineStr">
        <is>
          <t>843</t>
        </is>
      </c>
      <c r="N14" s="2" t="inlineStr">
        <is>
          <t>DISCREPANCIA - El monto de la factura ($1,466.44) no coincide con ninguna OC individual ni con la suma total ($0.00). Además, no hay OCs disponibles que justifiquen el monto de la factura.</t>
        </is>
      </c>
    </row>
    <row r="15">
      <c r="A15" s="2" t="inlineStr">
        <is>
          <t>⚠️ ANOMALÍA</t>
        </is>
      </c>
      <c r="B15" s="2" t="n">
        <v>14</v>
      </c>
      <c r="C15" s="2" t="inlineStr">
        <is>
          <t>2025-11-19 20:21:55</t>
        </is>
      </c>
      <c r="D15" s="2" t="inlineStr">
        <is>
          <t>Sí</t>
        </is>
      </c>
      <c r="E15" s="2" t="n">
        <v>1</v>
      </c>
      <c r="F15" s="2" t="inlineStr">
        <is>
          <t>Sí</t>
        </is>
      </c>
      <c r="G15" s="3">
        <f>HYPERLINK("https://drive.google.com/file/d/10OD0j0ybmva41fJkr7ze6BXWElIVqJ9S/view", "Ver PDF")</f>
        <v/>
      </c>
      <c r="H15" s="2" t="inlineStr">
        <is>
          <t>⚠️ Discrepancias</t>
        </is>
      </c>
      <c r="I15" s="2" t="inlineStr">
        <is>
          <t>DEL HUERTO DISTRIBUIDORA JONATHAN JIMENEZ CIREROL</t>
        </is>
      </c>
      <c r="J15" s="2" t="n">
        <v>2639.59</v>
      </c>
      <c r="K15" s="2" t="inlineStr">
        <is>
          <t>MXN</t>
        </is>
      </c>
      <c r="L15" s="2" t="inlineStr">
        <is>
          <t>CAFE CACHANILLA</t>
        </is>
      </c>
      <c r="M15" s="2" t="inlineStr">
        <is>
          <t>847</t>
        </is>
      </c>
      <c r="N15" s="2" t="inlineStr">
        <is>
          <t>DISCREPANCIA - El monto de la factura ($2,639.59) no coincide con ninguna OC individual ni con la suma total ($0.00). Además, no hay información sobre el proveedor en la OC disponible.</t>
        </is>
      </c>
    </row>
    <row r="16">
      <c r="A16" s="2" t="inlineStr">
        <is>
          <t>⚠️ ANOMALÍA</t>
        </is>
      </c>
      <c r="B16" s="2" t="n">
        <v>15</v>
      </c>
      <c r="C16" s="2" t="inlineStr">
        <is>
          <t>2025-11-19 20:21:57</t>
        </is>
      </c>
      <c r="D16" s="2" t="inlineStr">
        <is>
          <t>Sí</t>
        </is>
      </c>
      <c r="E16" s="2" t="n">
        <v>1</v>
      </c>
      <c r="F16" s="2" t="inlineStr">
        <is>
          <t>Sí</t>
        </is>
      </c>
      <c r="G16" s="3">
        <f>HYPERLINK("https://drive.google.com/file/d/1eRC3e4okbphsKZcP4khpsWVRxkp-iGNh/view", "Ver PDF")</f>
        <v/>
      </c>
      <c r="H16" s="2" t="inlineStr">
        <is>
          <t>⚠️ Discrepancias</t>
        </is>
      </c>
      <c r="I16" s="2" t="inlineStr">
        <is>
          <t>JUAN PABLO BOJORQUEZ NORIEGA</t>
        </is>
      </c>
      <c r="J16" s="2" t="n">
        <v>2982</v>
      </c>
      <c r="K16" s="2" t="inlineStr">
        <is>
          <t>MXN</t>
        </is>
      </c>
      <c r="L16" s="2" t="inlineStr">
        <is>
          <t>BRAULIO MALDONADO LOCAL 85 Y 86 COL. CENTRO MEXICALI, BAJA CALIFORNIA C.P. 21850</t>
        </is>
      </c>
      <c r="M16" s="2" t="inlineStr">
        <is>
          <t>1014f653-e55c-4e65-876e-49e71822d732</t>
        </is>
      </c>
      <c r="N16" s="2" t="inlineStr">
        <is>
          <t>DISCREPANCIA - El monto de la factura ($2,982.00) no coincide con ninguna OC individual ni con la suma total (que es $0.00). Además, no hay información sobre el proveedor en la OC.</t>
        </is>
      </c>
    </row>
    <row r="17">
      <c r="A17" s="2" t="inlineStr">
        <is>
          <t>⚠️ ANOMALÍA</t>
        </is>
      </c>
      <c r="B17" s="2" t="n">
        <v>16</v>
      </c>
      <c r="C17" s="2" t="inlineStr">
        <is>
          <t>2025-11-19 20:21:58</t>
        </is>
      </c>
      <c r="D17" s="2" t="inlineStr">
        <is>
          <t>Sí</t>
        </is>
      </c>
      <c r="E17" s="2" t="n">
        <v>1</v>
      </c>
      <c r="F17" s="2" t="inlineStr">
        <is>
          <t>Sí</t>
        </is>
      </c>
      <c r="G17" s="3">
        <f>HYPERLINK("https://drive.google.com/file/d/1RfN2uzYIhQvIMwdsk62japXHNILJgSyZ/view", "Ver PDF")</f>
        <v/>
      </c>
      <c r="H17" s="2" t="inlineStr">
        <is>
          <t>⚠️ Discrepancias</t>
        </is>
      </c>
      <c r="I17" s="2" t="inlineStr">
        <is>
          <t>JUAN PABLO BOJORQUEZ NORIEGA</t>
        </is>
      </c>
      <c r="J17" s="2" t="n">
        <v>3800.5</v>
      </c>
      <c r="K17" s="2" t="inlineStr">
        <is>
          <t>MXN</t>
        </is>
      </c>
      <c r="L17" s="2" t="inlineStr">
        <is>
          <t>CLIENTE, MEXICALI, BAJA CALIFORNIA C.P. 21850 MEXICO</t>
        </is>
      </c>
      <c r="M17" s="2" t="inlineStr">
        <is>
          <t>5284ab0a-b1e7-4e9a-b707-e3f2875c15d0</t>
        </is>
      </c>
      <c r="N17" s="2" t="inlineStr">
        <is>
          <t>DISCREPANCIA - El monto de la factura ($3,800.50) no coincide con ninguna OC individual ni con la suma total ($0.00). Además, no hay OCs disponibles que justifiquen el monto de la factura.</t>
        </is>
      </c>
    </row>
    <row r="18">
      <c r="A18" s="2" t="inlineStr">
        <is>
          <t>⚠️ ANOMALÍA</t>
        </is>
      </c>
      <c r="B18" s="2" t="n">
        <v>17</v>
      </c>
      <c r="C18" s="2" t="inlineStr">
        <is>
          <t>2025-11-19 20:22:00</t>
        </is>
      </c>
      <c r="D18" s="2" t="inlineStr">
        <is>
          <t>Sí</t>
        </is>
      </c>
      <c r="E18" s="2" t="n">
        <v>1</v>
      </c>
      <c r="F18" s="2" t="inlineStr">
        <is>
          <t>Sí</t>
        </is>
      </c>
      <c r="G18" s="3">
        <f>HYPERLINK("https://drive.google.com/file/d/1EVb6foCzluAe5iSQ-kqvP5cBiz6etoBO/view", "Ver PDF")</f>
        <v/>
      </c>
      <c r="H18" s="2" t="inlineStr">
        <is>
          <t>⚠️ Discrepancias</t>
        </is>
      </c>
      <c r="I18" s="2" t="inlineStr">
        <is>
          <t>JUAN PABLO BOJORQUEZ NORIEGA</t>
        </is>
      </c>
      <c r="J18" s="2" t="n">
        <v>4394.5</v>
      </c>
      <c r="K18" s="2" t="inlineStr">
        <is>
          <t>MXN</t>
        </is>
      </c>
      <c r="L18" s="2" t="inlineStr">
        <is>
          <t>BRAULIO MALDONADO LOC 85Y86 COL. CENTRO MEXICALI, BAJA CALIFORNIA C.P. 21850</t>
        </is>
      </c>
      <c r="M18" s="2" t="inlineStr">
        <is>
          <t>9afdea52-50fb-40e7-947c-96a53d03e1ca</t>
        </is>
      </c>
      <c r="N18" s="2" t="inlineStr">
        <is>
          <t>DISCREPANCIA - El monto de la factura ($4,394.50) no coincide con ninguna OC individual ni con la suma total ($0.00). Además, no hay OCs disponibles que justifiquen la factura.</t>
        </is>
      </c>
    </row>
    <row r="19">
      <c r="A19" s="2" t="inlineStr">
        <is>
          <t>⚠️ ANOMALÍA</t>
        </is>
      </c>
      <c r="B19" s="2" t="n">
        <v>18</v>
      </c>
      <c r="C19" s="2" t="inlineStr">
        <is>
          <t>2025-11-19 20:22:01</t>
        </is>
      </c>
      <c r="D19" s="2" t="inlineStr">
        <is>
          <t>Sí</t>
        </is>
      </c>
      <c r="E19" s="2" t="n">
        <v>1</v>
      </c>
      <c r="F19" s="2" t="inlineStr">
        <is>
          <t>Sí</t>
        </is>
      </c>
      <c r="G19" s="3">
        <f>HYPERLINK("https://drive.google.com/file/d/1B2iyQ061NLJh07cTeCiiVpLAPViLOExL/view", "Ver PDF")</f>
        <v/>
      </c>
      <c r="H19" s="2" t="inlineStr">
        <is>
          <t>⚠️ Discrepancias</t>
        </is>
      </c>
      <c r="I19" s="2" t="inlineStr">
        <is>
          <t>JUAN PABLO BOJORQUEZ NORIEGA</t>
        </is>
      </c>
      <c r="J19" s="2" t="n">
        <v>2548</v>
      </c>
      <c r="K19" s="2" t="inlineStr">
        <is>
          <t>MXN</t>
        </is>
      </c>
      <c r="L19" s="2" t="inlineStr">
        <is>
          <t>BRAULIO MALDONADO LOC 85Y86 COL. CENTRO MEXICALI, BAJA CALIFORNIA C.P. 21850</t>
        </is>
      </c>
      <c r="M19" s="2" t="inlineStr">
        <is>
          <t>439c49f0-2cb7-45a5-8055-9cd363322e82</t>
        </is>
      </c>
      <c r="N19" s="2" t="inlineStr">
        <is>
          <t>DISCREPANCIA - El monto de la factura ($2,548.00) no coincide con ninguna OC individual ni con la suma total ($0.00). Además, no hay información sobre el proveedor en la OC.</t>
        </is>
      </c>
    </row>
    <row r="20">
      <c r="A20" s="2" t="inlineStr">
        <is>
          <t>⚠️ ANOMALÍA</t>
        </is>
      </c>
      <c r="B20" s="2" t="n">
        <v>19</v>
      </c>
      <c r="C20" s="2" t="inlineStr">
        <is>
          <t>2025-11-19 20:22:01</t>
        </is>
      </c>
      <c r="D20" s="2" t="inlineStr">
        <is>
          <t>Sí</t>
        </is>
      </c>
      <c r="E20" s="2" t="n">
        <v>1</v>
      </c>
      <c r="F20" s="2" t="inlineStr">
        <is>
          <t>Sí</t>
        </is>
      </c>
      <c r="G20" s="3">
        <f>HYPERLINK("https://drive.google.com/file/d/1BsoAplykPmXO4cD6Y6o0Ep0yA8tBa0vJ/view", "Ver PDF")</f>
        <v/>
      </c>
      <c r="H20" s="2" t="inlineStr">
        <is>
          <t>⚠️ Discrepancias</t>
        </is>
      </c>
      <c r="I20" s="2" t="inlineStr">
        <is>
          <t>DEL HUERTO DISTRIBUIDORA JONATHAN JIMENEZ CIREROL</t>
        </is>
      </c>
      <c r="J20" s="2" t="n">
        <v>2639.59</v>
      </c>
      <c r="K20" s="2" t="inlineStr">
        <is>
          <t>MXN</t>
        </is>
      </c>
      <c r="L20" s="2" t="inlineStr">
        <is>
          <t>CAFE CACHANILLA</t>
        </is>
      </c>
      <c r="M20" s="2" t="inlineStr">
        <is>
          <t>841</t>
        </is>
      </c>
      <c r="N20" s="2" t="inlineStr">
        <is>
          <t>DISCREPANCIA - El monto de la factura ($2,639.59) no coincide con ninguna OC individual ni con la suma total ($0.00). Además, no hay información sobre el proveedor en la OC disponible.</t>
        </is>
      </c>
    </row>
    <row r="21">
      <c r="A21" s="2" t="inlineStr">
        <is>
          <t>⚠️ ANOMALÍA</t>
        </is>
      </c>
      <c r="B21" s="2" t="n">
        <v>20</v>
      </c>
      <c r="C21" s="2" t="inlineStr">
        <is>
          <t>2025-11-19 20:22:02</t>
        </is>
      </c>
      <c r="D21" s="2" t="inlineStr">
        <is>
          <t>Sí</t>
        </is>
      </c>
      <c r="E21" s="2" t="n">
        <v>1</v>
      </c>
      <c r="F21" s="2" t="inlineStr">
        <is>
          <t>Sí</t>
        </is>
      </c>
      <c r="G21" s="3">
        <f>HYPERLINK("https://drive.google.com/file/d/1wxXG1jfPpraLOm3JeMAPPCVkVxN2Iw4j/view", "Ver PDF")</f>
        <v/>
      </c>
      <c r="H21" s="2" t="inlineStr">
        <is>
          <t>⚠️ Discrepancias</t>
        </is>
      </c>
      <c r="I21" s="2" t="inlineStr">
        <is>
          <t>DEL HUERTO DISTRIBUIDORA JONATHAN JIMENEZ CIREROL</t>
        </is>
      </c>
      <c r="J21" s="2" t="n">
        <v>2932.87</v>
      </c>
      <c r="K21" s="2" t="inlineStr">
        <is>
          <t>MXN</t>
        </is>
      </c>
      <c r="L21" s="2" t="inlineStr">
        <is>
          <t>CAFE CACHANILLA</t>
        </is>
      </c>
      <c r="M21" s="2" t="inlineStr">
        <is>
          <t>844</t>
        </is>
      </c>
      <c r="N21" s="2" t="inlineStr">
        <is>
          <t>DISCREPANCIA - El monto de la factura ($2,932.87) no coincide con ninguna OC individual ni con la suma total ($0.00). Además, no hay información sobre el proveedor en la OC.</t>
        </is>
      </c>
    </row>
    <row r="22">
      <c r="A22" s="2" t="inlineStr">
        <is>
          <t>⚠️ ANOMALÍA</t>
        </is>
      </c>
      <c r="B22" s="2" t="n">
        <v>21</v>
      </c>
      <c r="C22" s="2" t="inlineStr">
        <is>
          <t>2025-11-19 20:22:03</t>
        </is>
      </c>
      <c r="D22" s="2" t="inlineStr">
        <is>
          <t>Sí</t>
        </is>
      </c>
      <c r="E22" s="2" t="n">
        <v>1</v>
      </c>
      <c r="F22" s="2" t="inlineStr">
        <is>
          <t>Sí</t>
        </is>
      </c>
      <c r="G22" s="3">
        <f>HYPERLINK("https://drive.google.com/file/d/1fU77TaMR2I9Ye_tKrHDezvMmJX8c-eH7/view", "Ver PDF")</f>
        <v/>
      </c>
      <c r="H22" s="2" t="inlineStr">
        <is>
          <t>⚠️ Discrepancias</t>
        </is>
      </c>
      <c r="I22" s="2" t="inlineStr">
        <is>
          <t>DEL HUERTO DISTRIBUIDORA JONATHAN JIMENEZ CIREROL</t>
        </is>
      </c>
      <c r="J22" s="2" t="n">
        <v>1466.44</v>
      </c>
      <c r="K22" s="2" t="inlineStr">
        <is>
          <t>MXN</t>
        </is>
      </c>
      <c r="L22" s="2" t="inlineStr">
        <is>
          <t>CAFE CACHANILLA</t>
        </is>
      </c>
      <c r="M22" s="2" t="inlineStr">
        <is>
          <t>846</t>
        </is>
      </c>
      <c r="N22" s="2" t="inlineStr">
        <is>
          <t>DISCREPANCIA - El monto de la factura ($1,466.44) no coincide con ninguna OC individual ni con la suma total ($0.00). Además, no hay OCs disponibles que justifiquen la factura.</t>
        </is>
      </c>
    </row>
    <row r="23">
      <c r="A23" s="2" t="inlineStr">
        <is>
          <t>⚠️ ANOMALÍA</t>
        </is>
      </c>
      <c r="B23" s="2" t="n">
        <v>22</v>
      </c>
      <c r="C23" s="2" t="inlineStr">
        <is>
          <t>2025-11-19 20:22:04</t>
        </is>
      </c>
      <c r="D23" s="2" t="inlineStr">
        <is>
          <t>No</t>
        </is>
      </c>
      <c r="E23" s="2" t="n">
        <v>0</v>
      </c>
      <c r="F23" s="2" t="inlineStr">
        <is>
          <t>Sí</t>
        </is>
      </c>
      <c r="G23" s="3">
        <f>HYPERLINK("https://drive.google.com/file/d/1RNOTbx0e9R7Fgr_srPsRD6Mc76C_2eJ2/view", "Ver PDF")</f>
        <v/>
      </c>
      <c r="H23" s="2" t="inlineStr">
        <is>
          <t>⚠️ Sin OC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N/A</t>
        </is>
      </c>
      <c r="M23" s="2" t="inlineStr">
        <is>
          <t>N/A</t>
        </is>
      </c>
      <c r="N23" s="2" t="inlineStr"/>
    </row>
    <row r="24">
      <c r="A24" s="2" t="inlineStr">
        <is>
          <t>⚠️ ANOMALÍA</t>
        </is>
      </c>
      <c r="B24" s="2" t="n">
        <v>23</v>
      </c>
      <c r="C24" s="2" t="inlineStr">
        <is>
          <t>2025-11-19 20:22:05</t>
        </is>
      </c>
      <c r="D24" s="2" t="inlineStr">
        <is>
          <t>No</t>
        </is>
      </c>
      <c r="E24" s="2" t="n">
        <v>0</v>
      </c>
      <c r="F24" s="2" t="inlineStr">
        <is>
          <t>Sí</t>
        </is>
      </c>
      <c r="G24" s="3">
        <f>HYPERLINK("https://drive.google.com/file/d/1QLYeo11UELs9ulDPUrAE-l6aVcip7fab/view", "Ver PDF")</f>
        <v/>
      </c>
      <c r="H24" s="2" t="inlineStr">
        <is>
          <t>⚠️ Sin OC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/>
    </row>
    <row r="25">
      <c r="A25" s="2" t="inlineStr">
        <is>
          <t>⚠️ ANOMALÍA</t>
        </is>
      </c>
      <c r="B25" s="2" t="n">
        <v>24</v>
      </c>
      <c r="C25" s="2" t="inlineStr">
        <is>
          <t>2025-11-19 20:22:06</t>
        </is>
      </c>
      <c r="D25" s="2" t="inlineStr">
        <is>
          <t>No</t>
        </is>
      </c>
      <c r="E25" s="2" t="n">
        <v>0</v>
      </c>
      <c r="F25" s="2" t="inlineStr">
        <is>
          <t>Sí</t>
        </is>
      </c>
      <c r="G25" s="3">
        <f>HYPERLINK("https://drive.google.com/file/d/1-evfKGZEhH8dwT4IZ6NrnU-8qH60mfl2/view", "Ver PDF")</f>
        <v/>
      </c>
      <c r="H25" s="2" t="inlineStr">
        <is>
          <t>⚠️ Sin OC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N/A</t>
        </is>
      </c>
      <c r="N25" s="2" t="inlineStr"/>
    </row>
    <row r="26">
      <c r="A26" s="2" t="inlineStr">
        <is>
          <t>⚠️ ANOMALÍA</t>
        </is>
      </c>
      <c r="B26" s="2" t="n">
        <v>25</v>
      </c>
      <c r="C26" s="2" t="inlineStr">
        <is>
          <t>2025-11-19 20:22:07</t>
        </is>
      </c>
      <c r="D26" s="2" t="inlineStr">
        <is>
          <t>Sí</t>
        </is>
      </c>
      <c r="E26" s="2" t="n">
        <v>1</v>
      </c>
      <c r="F26" s="2" t="inlineStr">
        <is>
          <t>Sí</t>
        </is>
      </c>
      <c r="G26" s="3">
        <f>HYPERLINK("https://drive.google.com/file/d/1gIe0HC1_Cm-A2MjljNPpNIPm-6snYWY1/view", "Ver PDF")</f>
        <v/>
      </c>
      <c r="H26" s="2" t="inlineStr">
        <is>
          <t>⚠️ Discrepancias</t>
        </is>
      </c>
      <c r="I26" s="2" t="inlineStr">
        <is>
          <t>JESÚS ERNESTO GÓMEZ RODRIGUEZ</t>
        </is>
      </c>
      <c r="J26" s="2" t="n">
        <v>256770</v>
      </c>
      <c r="K26" s="2" t="inlineStr">
        <is>
          <t>M.N.</t>
        </is>
      </c>
      <c r="L26" s="2" t="inlineStr">
        <is>
          <t>CAFE CACHANILLA</t>
        </is>
      </c>
      <c r="M26" s="2" t="inlineStr"/>
      <c r="N26" s="2" t="inlineStr">
        <is>
          <t>DISCREPANCIA - El monto de la factura ($256,770.00) no coincide con ninguna OC individual ni con la suma total (que es $0.00). Además, no hay información sobre el proveedor en la OC, lo que impide val...</t>
        </is>
      </c>
    </row>
    <row r="27">
      <c r="A27" s="2" t="inlineStr">
        <is>
          <t>⚠️ ANOMALÍA</t>
        </is>
      </c>
      <c r="B27" s="2" t="n">
        <v>26</v>
      </c>
      <c r="C27" s="2" t="inlineStr">
        <is>
          <t>2025-11-19 20:22:08</t>
        </is>
      </c>
      <c r="D27" s="2" t="inlineStr">
        <is>
          <t>No</t>
        </is>
      </c>
      <c r="E27" s="2" t="n">
        <v>0</v>
      </c>
      <c r="F27" s="2" t="inlineStr">
        <is>
          <t>Sí</t>
        </is>
      </c>
      <c r="G27" s="3">
        <f>HYPERLINK("https://drive.google.com/file/d/1av7iqTzbwcDxYGTZ3RDrjCXKNlFrBlbp/view", "Ver PDF")</f>
        <v/>
      </c>
      <c r="H27" s="2" t="inlineStr">
        <is>
          <t>⚠️ Sin OC</t>
        </is>
      </c>
      <c r="I27" s="2" t="inlineStr">
        <is>
          <t>N/A</t>
        </is>
      </c>
      <c r="J27" s="2" t="inlineStr">
        <is>
          <t>N/A</t>
        </is>
      </c>
      <c r="K27" s="2" t="inlineStr">
        <is>
          <t>N/A</t>
        </is>
      </c>
      <c r="L27" s="2" t="inlineStr">
        <is>
          <t>N/A</t>
        </is>
      </c>
      <c r="M27" s="2" t="inlineStr">
        <is>
          <t>N/A</t>
        </is>
      </c>
      <c r="N27" s="2" t="inlineStr"/>
    </row>
    <row r="28">
      <c r="A28" s="2" t="inlineStr">
        <is>
          <t>⚠️ ANOMALÍA</t>
        </is>
      </c>
      <c r="B28" s="2" t="n">
        <v>27</v>
      </c>
      <c r="C28" s="2" t="inlineStr">
        <is>
          <t>2025-11-19 20:22:09</t>
        </is>
      </c>
      <c r="D28" s="2" t="inlineStr">
        <is>
          <t>Sí</t>
        </is>
      </c>
      <c r="E28" s="2" t="n">
        <v>1</v>
      </c>
      <c r="F28" s="2" t="inlineStr">
        <is>
          <t>Sí</t>
        </is>
      </c>
      <c r="G28" s="3">
        <f>HYPERLINK("https://drive.google.com/file/d/1h1UNiPoqu_CTIkhbBhcyk5dkTdaPxqKh/view", "Ver PDF")</f>
        <v/>
      </c>
      <c r="H28" s="2" t="inlineStr">
        <is>
          <t>⚠️ Discrepancias</t>
        </is>
      </c>
      <c r="I28" s="2" t="inlineStr">
        <is>
          <t>CAFE CACHANILLA</t>
        </is>
      </c>
      <c r="J28" s="2" t="n">
        <v>45954</v>
      </c>
      <c r="K28" s="2" t="inlineStr">
        <is>
          <t>M.N.</t>
        </is>
      </c>
      <c r="L28" s="2" t="inlineStr"/>
      <c r="M28" s="2" t="inlineStr">
        <is>
          <t>59227</t>
        </is>
      </c>
      <c r="N28" s="2" t="inlineStr">
        <is>
          <t>DISCREPANCIA - El monto de la factura ($45,954.00) no coincide con ninguna OC individual ni con la suma total (que es $0.00). Además, no hay información sobre el proveedor en la OC.</t>
        </is>
      </c>
    </row>
    <row r="29">
      <c r="A29" s="2" t="inlineStr">
        <is>
          <t>⚠️ ANOMALÍA</t>
        </is>
      </c>
      <c r="B29" s="2" t="n">
        <v>28</v>
      </c>
      <c r="C29" s="2" t="inlineStr">
        <is>
          <t>2025-11-19 20:22:10</t>
        </is>
      </c>
      <c r="D29" s="2" t="inlineStr">
        <is>
          <t>Sí</t>
        </is>
      </c>
      <c r="E29" s="2" t="n">
        <v>1</v>
      </c>
      <c r="F29" s="2" t="inlineStr">
        <is>
          <t>Sí</t>
        </is>
      </c>
      <c r="G29" s="3">
        <f>HYPERLINK("https://drive.google.com/file/d/1ThF33IKlJpTG28DUugEMJNiJoRirMYbt/view", "Ver PDF")</f>
        <v/>
      </c>
      <c r="H29" s="2" t="inlineStr">
        <is>
          <t>⚠️ Discrepancias</t>
        </is>
      </c>
      <c r="I29" s="2" t="inlineStr">
        <is>
          <t>COMERCIALIZADORA ELORO, S.A.</t>
        </is>
      </c>
      <c r="J29" s="2" t="n">
        <v>962</v>
      </c>
      <c r="K29" s="2" t="inlineStr">
        <is>
          <t>MXN</t>
        </is>
      </c>
      <c r="L29" s="2" t="inlineStr">
        <is>
          <t>CAFE CHACHANILLA S DE RL DE CV</t>
        </is>
      </c>
      <c r="M29" s="2" t="inlineStr">
        <is>
          <t>9243090417</t>
        </is>
      </c>
      <c r="N29" s="2" t="inlineStr">
        <is>
          <t>DISCREPANCIA - El monto de la factura ($962.00) no coincide con ninguna OC individual ni con la suma total ($0.00). Además, no hay información sobre el proveedor en la OC disponible.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28</v>
      </c>
    </row>
    <row r="3">
      <c r="A3" t="inlineStr">
        <is>
          <t>Registros Correctos</t>
        </is>
      </c>
      <c r="B3" t="n">
        <v>0</v>
      </c>
    </row>
    <row r="4">
      <c r="A4" t="inlineStr">
        <is>
          <t>Total de Anomalías</t>
        </is>
      </c>
      <c r="B4" t="n">
        <v>28</v>
      </c>
    </row>
    <row r="5">
      <c r="A5" t="inlineStr">
        <is>
          <t>Porcentaje de Correctos</t>
        </is>
      </c>
      <c r="B5" t="inlineStr">
        <is>
          <t>0.0%</t>
        </is>
      </c>
    </row>
    <row r="6">
      <c r="A6" t="inlineStr"/>
      <c r="B6" t="inlineStr"/>
    </row>
    <row r="7">
      <c r="A7" t="inlineStr">
        <is>
          <t>DESGLOSE DE ANOMALÍAS</t>
        </is>
      </c>
      <c r="B7" t="inlineStr"/>
    </row>
    <row r="8">
      <c r="A8" t="inlineStr">
        <is>
          <t>⚠️ Discrepancias</t>
        </is>
      </c>
      <c r="B8" t="n">
        <v>22</v>
      </c>
    </row>
    <row r="9">
      <c r="A9" t="inlineStr">
        <is>
          <t>⚠️ Sin OC</t>
        </is>
      </c>
      <c r="B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2025-11-19T20:30:13Z</dcterms:created>
  <dcterms:modified xsi:type="dcterms:W3CDTF">2025-11-19T20:30:13Z</dcterms:modified>
</cp:coreProperties>
</file>